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<sst xmlns="http://schemas.openxmlformats.org/spreadsheetml/2006/main" count="814" uniqueCount="307">
  <si>
    <t xml:space="preserve">ID Cliente</t>
  </si>
  <si>
    <t xml:space="preserve">Nombre Cliente</t>
  </si>
  <si>
    <t xml:space="preserve">Ciudad</t>
  </si>
  <si>
    <t xml:space="preserve">Tipo de Negocio</t>
  </si>
  <si>
    <t xml:space="preserve">Ventas 2024 (COP)</t>
  </si>
  <si>
    <t xml:space="preserve">% Incremento 2025</t>
  </si>
  <si>
    <t xml:space="preserve">Ingresos 2025 (COP)</t>
  </si>
  <si>
    <t xml:space="preserve">% Cartera Vencida</t>
  </si>
  <si>
    <t xml:space="preserve">Cartera Vencida (COP)</t>
  </si>
  <si>
    <t xml:space="preserve">Días de Pago Promedio</t>
  </si>
  <si>
    <t xml:space="preserve">Estado</t>
  </si>
  <si>
    <t xml:space="preserve">Última Compra</t>
  </si>
  <si>
    <t xml:space="preserve">C001</t>
  </si>
  <si>
    <t xml:space="preserve">Super Todo Fresco</t>
  </si>
  <si>
    <t xml:space="preserve">Valledupar</t>
  </si>
  <si>
    <t xml:space="preserve">Supermercado</t>
  </si>
  <si>
    <t xml:space="preserve">En riesgo</t>
  </si>
  <si>
    <t xml:space="preserve">C002</t>
  </si>
  <si>
    <t xml:space="preserve">Tienda La 84</t>
  </si>
  <si>
    <t xml:space="preserve">Barranquilla</t>
  </si>
  <si>
    <t xml:space="preserve">Tienda tradicional</t>
  </si>
  <si>
    <t xml:space="preserve">Activo</t>
  </si>
  <si>
    <t xml:space="preserve">C003</t>
  </si>
  <si>
    <t xml:space="preserve">Supermercado Ahorro Costeño</t>
  </si>
  <si>
    <t xml:space="preserve">Suspendido</t>
  </si>
  <si>
    <t xml:space="preserve">C004</t>
  </si>
  <si>
    <t xml:space="preserve">Minimercado La Popular</t>
  </si>
  <si>
    <t xml:space="preserve">C005</t>
  </si>
  <si>
    <t xml:space="preserve">Hipermercado La Bonanza</t>
  </si>
  <si>
    <t xml:space="preserve">Santa Marta</t>
  </si>
  <si>
    <t xml:space="preserve">C006</t>
  </si>
  <si>
    <t xml:space="preserve">Tienda La Esquina</t>
  </si>
  <si>
    <t xml:space="preserve">C007</t>
  </si>
  <si>
    <t xml:space="preserve">Autoservicio Santa Rita</t>
  </si>
  <si>
    <t xml:space="preserve">C008</t>
  </si>
  <si>
    <t xml:space="preserve">Autoservicios El Cacique</t>
  </si>
  <si>
    <t xml:space="preserve">C009</t>
  </si>
  <si>
    <t xml:space="preserve">Restaurante La Bahía</t>
  </si>
  <si>
    <t xml:space="preserve">Institución</t>
  </si>
  <si>
    <t xml:space="preserve">C010</t>
  </si>
  <si>
    <t xml:space="preserve">Supermercado La Economía</t>
  </si>
  <si>
    <t xml:space="preserve">C011</t>
  </si>
  <si>
    <t xml:space="preserve">Autoservicios El Litoral</t>
  </si>
  <si>
    <t xml:space="preserve">C012</t>
  </si>
  <si>
    <t xml:space="preserve">Autoservicios El Rey</t>
  </si>
  <si>
    <t xml:space="preserve">C013</t>
  </si>
  <si>
    <t xml:space="preserve">Autoservicio El Progreso</t>
  </si>
  <si>
    <t xml:space="preserve">C014</t>
  </si>
  <si>
    <t xml:space="preserve">Autoservicio El Faro</t>
  </si>
  <si>
    <t xml:space="preserve">Cartagena</t>
  </si>
  <si>
    <t xml:space="preserve">C015</t>
  </si>
  <si>
    <t xml:space="preserve">Hipermercado La Canasta</t>
  </si>
  <si>
    <t xml:space="preserve">C016</t>
  </si>
  <si>
    <t xml:space="preserve">C017</t>
  </si>
  <si>
    <t xml:space="preserve">Minimercado La 84</t>
  </si>
  <si>
    <t xml:space="preserve">C018</t>
  </si>
  <si>
    <t xml:space="preserve">Supermercado Mercar</t>
  </si>
  <si>
    <t xml:space="preserve">C019</t>
  </si>
  <si>
    <t xml:space="preserve">Deposito La Bendición</t>
  </si>
  <si>
    <t xml:space="preserve">C020</t>
  </si>
  <si>
    <t xml:space="preserve">Hipermercado El Rey</t>
  </si>
  <si>
    <t xml:space="preserve">C021</t>
  </si>
  <si>
    <t xml:space="preserve">Fundación Nuestra Señora del Carmen</t>
  </si>
  <si>
    <t xml:space="preserve">C022</t>
  </si>
  <si>
    <t xml:space="preserve">Tienda San Roque</t>
  </si>
  <si>
    <t xml:space="preserve">C023</t>
  </si>
  <si>
    <t xml:space="preserve">Comedor Institucional San José</t>
  </si>
  <si>
    <t xml:space="preserve">C024</t>
  </si>
  <si>
    <t xml:space="preserve">Tienda El Paisa</t>
  </si>
  <si>
    <t xml:space="preserve">C025</t>
  </si>
  <si>
    <t xml:space="preserve">Clínica San José</t>
  </si>
  <si>
    <t xml:space="preserve">C026</t>
  </si>
  <si>
    <t xml:space="preserve">Minimercado Doña María</t>
  </si>
  <si>
    <t xml:space="preserve">C027</t>
  </si>
  <si>
    <t xml:space="preserve">Hipermercado El Cacique</t>
  </si>
  <si>
    <t xml:space="preserve">C028</t>
  </si>
  <si>
    <t xml:space="preserve">Super La 15</t>
  </si>
  <si>
    <t xml:space="preserve">C029</t>
  </si>
  <si>
    <t xml:space="preserve">Deposito La Economía</t>
  </si>
  <si>
    <t xml:space="preserve">C030</t>
  </si>
  <si>
    <t xml:space="preserve">Fundación La Sagrada Familia</t>
  </si>
  <si>
    <t xml:space="preserve">C031</t>
  </si>
  <si>
    <t xml:space="preserve">C032</t>
  </si>
  <si>
    <t xml:space="preserve">Clínica El Marqués</t>
  </si>
  <si>
    <t xml:space="preserve">C033</t>
  </si>
  <si>
    <t xml:space="preserve">Super Mercar</t>
  </si>
  <si>
    <t xml:space="preserve">C034</t>
  </si>
  <si>
    <t xml:space="preserve">Restaurante La Popa</t>
  </si>
  <si>
    <t xml:space="preserve">C035</t>
  </si>
  <si>
    <t xml:space="preserve">Hospital El Prado</t>
  </si>
  <si>
    <t xml:space="preserve">C036</t>
  </si>
  <si>
    <t xml:space="preserve">Autoservicio El Trebol</t>
  </si>
  <si>
    <t xml:space="preserve">C037</t>
  </si>
  <si>
    <t xml:space="preserve">Minimercado Don Pedro</t>
  </si>
  <si>
    <t xml:space="preserve">C038</t>
  </si>
  <si>
    <t xml:space="preserve">Supermercado El Cacique</t>
  </si>
  <si>
    <t xml:space="preserve">C039</t>
  </si>
  <si>
    <t xml:space="preserve">Colegio El Bosque</t>
  </si>
  <si>
    <t xml:space="preserve">C040</t>
  </si>
  <si>
    <t xml:space="preserve">Comedor Institucional Nuestra Señora del Carmen</t>
  </si>
  <si>
    <t xml:space="preserve">C041</t>
  </si>
  <si>
    <t xml:space="preserve">Autoservicios Mercar</t>
  </si>
  <si>
    <t xml:space="preserve">C042</t>
  </si>
  <si>
    <t xml:space="preserve">Supermercado La Riviera</t>
  </si>
  <si>
    <t xml:space="preserve">C043</t>
  </si>
  <si>
    <t xml:space="preserve">Autoservicios Central</t>
  </si>
  <si>
    <t xml:space="preserve">C044</t>
  </si>
  <si>
    <t xml:space="preserve">C045</t>
  </si>
  <si>
    <t xml:space="preserve">Deposito San Judas</t>
  </si>
  <si>
    <t xml:space="preserve">C046</t>
  </si>
  <si>
    <t xml:space="preserve">Supermercado ElGanadero</t>
  </si>
  <si>
    <t xml:space="preserve">C047</t>
  </si>
  <si>
    <t xml:space="preserve">Super Ahorro Costeño</t>
  </si>
  <si>
    <t xml:space="preserve">C048</t>
  </si>
  <si>
    <t xml:space="preserve">Supermercado La 15</t>
  </si>
  <si>
    <t xml:space="preserve">C049</t>
  </si>
  <si>
    <t xml:space="preserve">Minimercado Nueva Vida</t>
  </si>
  <si>
    <t xml:space="preserve">C050</t>
  </si>
  <si>
    <t xml:space="preserve">Autoservicios La Bonanza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</si>
  <si>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</si>
  <si>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</si>
  <si>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</si>
  <si>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</si>
  <si>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</si>
  <si>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Autoservicio San Judas</t>
  </si>
  <si>
    <t xml:space="preserve">C056</t>
  </si>
  <si>
    <t xml:space="preserve">Hipermercado Ahorro Costeño</t>
  </si>
  <si>
    <t xml:space="preserve">C057</t>
  </si>
  <si>
    <t xml:space="preserve">Supermercado Todo Fresco</t>
  </si>
  <si>
    <t xml:space="preserve">C058</t>
  </si>
  <si>
    <t xml:space="preserve">Autoservicios La 15</t>
  </si>
  <si>
    <t xml:space="preserve">C059</t>
  </si>
  <si>
    <t xml:space="preserve">Supermercado El Rey</t>
  </si>
  <si>
    <t xml:space="preserve">C060</t>
  </si>
  <si>
    <t xml:space="preserve">Clínica La Popa</t>
  </si>
  <si>
    <t xml:space="preserve">C061</t>
  </si>
  <si>
    <t xml:space="preserve">Tienda El Ahorro</t>
  </si>
  <si>
    <t xml:space="preserve">C062</t>
  </si>
  <si>
    <t xml:space="preserve">C063</t>
  </si>
  <si>
    <t xml:space="preserve">Super El Cacique</t>
  </si>
  <si>
    <t xml:space="preserve">C064</t>
  </si>
  <si>
    <t xml:space="preserve">C065</t>
  </si>
  <si>
    <t xml:space="preserve">C066</t>
  </si>
  <si>
    <t xml:space="preserve">Casino La Sagrada Familia</t>
  </si>
  <si>
    <t xml:space="preserve">C067</t>
  </si>
  <si>
    <t xml:space="preserve">Deposito La Esquina</t>
  </si>
  <si>
    <t xml:space="preserve">C068</t>
  </si>
  <si>
    <t xml:space="preserve">Deposito Santa Rita</t>
  </si>
  <si>
    <t xml:space="preserve">C069</t>
  </si>
  <si>
    <t xml:space="preserve">Deposito La Costeña</t>
  </si>
  <si>
    <t xml:space="preserve">C070</t>
  </si>
  <si>
    <t xml:space="preserve">Autoservicios Ahorro Costeño</t>
  </si>
  <si>
    <t xml:space="preserve">C071</t>
  </si>
  <si>
    <t xml:space="preserve">Restaurante Las Américas</t>
  </si>
  <si>
    <t xml:space="preserve">C072</t>
  </si>
  <si>
    <t xml:space="preserve">Deposito Don Pedro</t>
  </si>
  <si>
    <t xml:space="preserve">C073</t>
  </si>
  <si>
    <t xml:space="preserve">Hipermercado La Cosecha</t>
  </si>
  <si>
    <t xml:space="preserve">C074</t>
  </si>
  <si>
    <t xml:space="preserve">Hipermercado La 15</t>
  </si>
  <si>
    <t xml:space="preserve">C075</t>
  </si>
  <si>
    <t xml:space="preserve">Autoservicios La Economía</t>
  </si>
  <si>
    <t xml:space="preserve">C076</t>
  </si>
  <si>
    <t xml:space="preserve">C077</t>
  </si>
  <si>
    <t xml:space="preserve">C078</t>
  </si>
  <si>
    <t xml:space="preserve">Autoservicios La Riviera</t>
  </si>
  <si>
    <t xml:space="preserve">C079</t>
  </si>
  <si>
    <t xml:space="preserve">Hospital El Bosque</t>
  </si>
  <si>
    <t xml:space="preserve">C080</t>
  </si>
  <si>
    <t xml:space="preserve">Tienda San Judas</t>
  </si>
  <si>
    <t xml:space="preserve">C081</t>
  </si>
  <si>
    <t xml:space="preserve">Deposito El Faro</t>
  </si>
  <si>
    <t xml:space="preserve">C082</t>
  </si>
  <si>
    <t xml:space="preserve">Hotel La Bahía</t>
  </si>
  <si>
    <t xml:space="preserve">C083</t>
  </si>
  <si>
    <t xml:space="preserve">Deposito San Roque</t>
  </si>
  <si>
    <t xml:space="preserve">C084</t>
  </si>
  <si>
    <t xml:space="preserve">Hospital Santa Marta de la Sierra</t>
  </si>
  <si>
    <t xml:space="preserve">C085</t>
  </si>
  <si>
    <t xml:space="preserve">Tienda El Faro</t>
  </si>
  <si>
    <t xml:space="preserve">C086</t>
  </si>
  <si>
    <t xml:space="preserve">Clínica La Sagrada Familia</t>
  </si>
  <si>
    <t xml:space="preserve">C087</t>
  </si>
  <si>
    <t xml:space="preserve">Minimercado La Fe</t>
  </si>
  <si>
    <t xml:space="preserve">C088</t>
  </si>
  <si>
    <t xml:space="preserve">Club Social Nuestra Señora del Carmen</t>
  </si>
  <si>
    <t xml:space="preserve">C089</t>
  </si>
  <si>
    <t xml:space="preserve">C090</t>
  </si>
  <si>
    <t xml:space="preserve">Club Social Del Caribe</t>
  </si>
  <si>
    <t xml:space="preserve">C091</t>
  </si>
  <si>
    <t xml:space="preserve">C092</t>
  </si>
  <si>
    <t xml:space="preserve">Hipermercado La Riviera</t>
  </si>
  <si>
    <t xml:space="preserve">C093</t>
  </si>
  <si>
    <t xml:space="preserve">Autoservicios El Baratillo</t>
  </si>
  <si>
    <t xml:space="preserve">C094</t>
  </si>
  <si>
    <t xml:space="preserve">C095</t>
  </si>
  <si>
    <t xml:space="preserve">C096</t>
  </si>
  <si>
    <t xml:space="preserve">C097</t>
  </si>
  <si>
    <t xml:space="preserve">Autoservicio Don Pedro</t>
  </si>
  <si>
    <t xml:space="preserve">C098</t>
  </si>
  <si>
    <t xml:space="preserve">Hipermercado ElGanadero</t>
  </si>
  <si>
    <t xml:space="preserve">C099</t>
  </si>
  <si>
    <t xml:space="preserve">Autoservicio La Costeña</t>
  </si>
  <si>
    <t xml:space="preserve">C100</t>
  </si>
  <si>
    <t xml:space="preserve">C101</t>
  </si>
  <si>
    <t xml:space="preserve">Tienda El Trebol</t>
  </si>
  <si>
    <t xml:space="preserve">C102</t>
  </si>
  <si>
    <t xml:space="preserve">Minimercado El Paisa</t>
  </si>
  <si>
    <t xml:space="preserve">C103</t>
  </si>
  <si>
    <t xml:space="preserve">C104</t>
  </si>
  <si>
    <t xml:space="preserve">Super La Riviera</t>
  </si>
  <si>
    <t xml:space="preserve">C105</t>
  </si>
  <si>
    <t xml:space="preserve">Club Social San José</t>
  </si>
  <si>
    <t xml:space="preserve">C106</t>
  </si>
  <si>
    <t xml:space="preserve">Colegio Country Club</t>
  </si>
  <si>
    <t xml:space="preserve">C107</t>
  </si>
  <si>
    <t xml:space="preserve">Minimercado San Judas</t>
  </si>
  <si>
    <t xml:space="preserve">C108</t>
  </si>
  <si>
    <t xml:space="preserve">Hipermercado La Economía</t>
  </si>
  <si>
    <t xml:space="preserve">C109</t>
  </si>
  <si>
    <t xml:space="preserve">Autoservicio Doña María</t>
  </si>
  <si>
    <t xml:space="preserve">C110</t>
  </si>
  <si>
    <t xml:space="preserve">Restaurante San José</t>
  </si>
  <si>
    <t xml:space="preserve">C111</t>
  </si>
  <si>
    <t xml:space="preserve">Autoservicio La Popular</t>
  </si>
  <si>
    <t xml:space="preserve">C112</t>
  </si>
  <si>
    <t xml:space="preserve">C113</t>
  </si>
  <si>
    <t xml:space="preserve">C114</t>
  </si>
  <si>
    <t xml:space="preserve">Autoservicios La Cosecha</t>
  </si>
  <si>
    <t xml:space="preserve">C115</t>
  </si>
  <si>
    <t xml:space="preserve">Deposito El Vecino</t>
  </si>
  <si>
    <t xml:space="preserve">C116</t>
  </si>
  <si>
    <t xml:space="preserve">Supermercado La Canasta</t>
  </si>
  <si>
    <t xml:space="preserve">C117</t>
  </si>
  <si>
    <t xml:space="preserve">Restaurante Nuestra Señora del Carmen</t>
  </si>
  <si>
    <t xml:space="preserve">C118</t>
  </si>
  <si>
    <t xml:space="preserve">Autoservicio La Esquina</t>
  </si>
  <si>
    <t xml:space="preserve">C119</t>
  </si>
  <si>
    <t xml:space="preserve">Minimercado La Economía</t>
  </si>
  <si>
    <t xml:space="preserve">C120</t>
  </si>
  <si>
    <t xml:space="preserve">C121</t>
  </si>
  <si>
    <t xml:space="preserve">Tienda Nueva Vida</t>
  </si>
  <si>
    <t xml:space="preserve">C122</t>
  </si>
  <si>
    <t xml:space="preserve">Panadería San Fernando</t>
  </si>
  <si>
    <t xml:space="preserve">C123</t>
  </si>
  <si>
    <t xml:space="preserve">C124</t>
  </si>
  <si>
    <t xml:space="preserve">Autoservicio La Economía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</si>
  <si>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</si>
  <si>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</si>
  <si>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</si>
  <si>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</si>
  <si>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</si>
  <si>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Clínica Nuestra Señora del Carmen</t>
  </si>
  <si>
    <t xml:space="preserve">C130</t>
  </si>
  <si>
    <t xml:space="preserve">Deposito Las Delicias</t>
  </si>
  <si>
    <t xml:space="preserve">C131</t>
  </si>
  <si>
    <t xml:space="preserve">Supermercado Central</t>
  </si>
  <si>
    <t xml:space="preserve">C132</t>
  </si>
  <si>
    <t xml:space="preserve">Hospital Del Caribe</t>
  </si>
  <si>
    <t xml:space="preserve">C133</t>
  </si>
  <si>
    <t xml:space="preserve">Hipermercado El Litoral</t>
  </si>
  <si>
    <t xml:space="preserve">C134</t>
  </si>
  <si>
    <t xml:space="preserve">Cafetería Empresarial Las Américas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</si>
  <si>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</si>
  <si>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</si>
  <si>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</si>
  <si>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</si>
  <si>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</si>
  <si>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Cafetería Empresarial La Popa</t>
  </si>
  <si>
    <t xml:space="preserve">C140</t>
  </si>
  <si>
    <t xml:space="preserve">Super ElGanadero</t>
  </si>
  <si>
    <t xml:space="preserve">C141</t>
  </si>
  <si>
    <t xml:space="preserve">C142</t>
  </si>
  <si>
    <t xml:space="preserve">C143</t>
  </si>
  <si>
    <t xml:space="preserve">Minimercado La Esquina</t>
  </si>
  <si>
    <t xml:space="preserve">C144</t>
  </si>
  <si>
    <t xml:space="preserve">Hipermercado Central</t>
  </si>
  <si>
    <t xml:space="preserve">C145</t>
  </si>
  <si>
    <t xml:space="preserve">C146</t>
  </si>
  <si>
    <t xml:space="preserve">Panadería Del Caribe</t>
  </si>
  <si>
    <t xml:space="preserve">C147</t>
  </si>
  <si>
    <t xml:space="preserve">Minimercado La Bendición</t>
  </si>
  <si>
    <t xml:space="preserve">C148</t>
  </si>
  <si>
    <t xml:space="preserve">Hipermercado Mercar</t>
  </si>
  <si>
    <t xml:space="preserve">C149</t>
  </si>
  <si>
    <t xml:space="preserve">C150</t>
  </si>
  <si>
    <t xml:space="preserve">Cafetería Empresarial San Fernando</t>
  </si>
  <si>
    <t xml:space="preserve">Supuestos: % Incremento 2025 e % Cartera Vencida son valores de entrada (fuente: simulación para demo/analítica, no datos reales de Andina Foods S.A.S.). Cartera Vencida (COP) = Ventas 2024 × % Cartera Vencida. Ingresos 2025 (COP) = Ventas 2024 × (1 + % Incremento 2025).</t>
  </si>
  <si>
    <t xml:space="preserve">Resumen Ejecutivo — Cartera de Clientes Andina Foods S.A.S.</t>
  </si>
  <si>
    <t xml:space="preserve">Total de clientes</t>
  </si>
  <si>
    <t xml:space="preserve">Clientes Activos</t>
  </si>
  <si>
    <t xml:space="preserve">Clientes En riesgo</t>
  </si>
  <si>
    <t xml:space="preserve">Clientes Suspendidos</t>
  </si>
  <si>
    <t xml:space="preserve">Ventas totales 2024 (COP)</t>
  </si>
  <si>
    <t xml:space="preserve">Ingresos totales 2025 (COP)</t>
  </si>
  <si>
    <t xml:space="preserve">Crecimiento total 2024→2025</t>
  </si>
  <si>
    <t xml:space="preserve">Cartera vencida total (COP)</t>
  </si>
  <si>
    <t xml:space="preserve">Cartera vencida / Ventas 2024</t>
  </si>
  <si>
    <t xml:space="preserve">Cartera en riesgo (clientes En riesgo + Suspendido) (COP)</t>
  </si>
  <si>
    <t xml:space="preserve">Clientes grandes (&gt;$50M ventas 2024)</t>
  </si>
  <si>
    <t xml:space="preserve">Clientes medianos ($10M-$50M)</t>
  </si>
  <si>
    <t xml:space="preserve">Clientes pequeños (&lt;$10M)</t>
  </si>
  <si>
    <t xml:space="preserve">Días de pago promedio (todos)</t>
  </si>
  <si>
    <t xml:space="preserve">Top 10 Clientes por Ingresos 2025</t>
  </si>
  <si>
    <t xml:space="preserve">ID</t>
  </si>
  <si>
    <t xml:space="preserve">Nombre</t>
  </si>
  <si>
    <t xml:space="preserve">Nota: datos simulados con fines de demostración / analítica del programa Master IA Local. No corresponden a información real de clientes de Andina Foods S.A.S.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</si>
</sst>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"/>
    <numFmt numFmtId="168" formatCode="dd/mm/yyyy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ientesAndina" displayName="ClientesAndina" ref="A1:L151" headerRowCount="1" totalsRowCount="0" totalsRowShown="0">
  <autoFilter ref="A1:L151"/>
  <tableColumns count="12">
    <tableColumn id="1" name="ID Cliente"/>
    <tableColumn id="2" name="Nombre Cliente"/>
    <tableColumn id="3" name="Ciudad"/>
    <tableColumn id="4" name="Tipo de Negocio"/>
    <tableColumn id="5" name="Ventas 2024 (COP)"/>
    <tableColumn id="6" name="% Incremento 2025"/>
    <tableColumn id="7" name="Ingresos 2025 (COP)"/>
    <tableColumn id="8" name="% Cartera Vencida"/>
    <tableColumn id="9" name="Cartera Vencida (COP)"/>
    <tableColumn id="10" name="Días de Pago Promedio"/>
    <tableColumn id="11" name="Estado"/>
    <tableColumn id="12" name="Última Compr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2" t="s">
        <v>14</v>
      </c>
      <c r="D2" s="2" t="s">
        <v>15</v>
      </c>
      <c r="E2" s="4" t="n">
        <v>181400000</v>
      </c>
      <c r="F2" s="5" t="n">
        <v>0.1956</v>
      </c>
      <c r="G2" s="6" t="n">
        <f aca="false">E2*(1+F2)</f>
        <v>216881840</v>
      </c>
      <c r="H2" s="5" t="n">
        <v>0.1155</v>
      </c>
      <c r="I2" s="6" t="n">
        <f aca="false">E2*H2</f>
        <v>20951700</v>
      </c>
      <c r="J2" s="7" t="n">
        <v>39</v>
      </c>
      <c r="K2" s="2" t="s">
        <v>16</v>
      </c>
      <c r="L2" s="8" t="n">
        <v>45759</v>
      </c>
    </row>
    <row r="3" customFormat="false" ht="15" hidden="false" customHeight="false" outlineLevel="0" collapsed="false">
      <c r="A3" s="2" t="s">
        <v>17</v>
      </c>
      <c r="B3" s="3" t="s">
        <v>18</v>
      </c>
      <c r="C3" s="2" t="s">
        <v>19</v>
      </c>
      <c r="D3" s="2" t="s">
        <v>20</v>
      </c>
      <c r="E3" s="4" t="n">
        <v>8800000</v>
      </c>
      <c r="F3" s="5" t="n">
        <v>0.1662</v>
      </c>
      <c r="G3" s="6" t="n">
        <f aca="false">E3*(1+F3)</f>
        <v>10262560</v>
      </c>
      <c r="H3" s="5" t="n">
        <v>0.029</v>
      </c>
      <c r="I3" s="6" t="n">
        <f aca="false">E3*H3</f>
        <v>255200</v>
      </c>
      <c r="J3" s="7" t="n">
        <v>30</v>
      </c>
      <c r="K3" s="2" t="s">
        <v>21</v>
      </c>
      <c r="L3" s="8" t="n">
        <v>45815</v>
      </c>
    </row>
    <row r="4" customFormat="false" ht="15" hidden="false" customHeight="false" outlineLevel="0" collapsed="false">
      <c r="A4" s="2" t="s">
        <v>22</v>
      </c>
      <c r="B4" s="3" t="s">
        <v>23</v>
      </c>
      <c r="C4" s="2" t="s">
        <v>19</v>
      </c>
      <c r="D4" s="2" t="s">
        <v>15</v>
      </c>
      <c r="E4" s="4" t="n">
        <v>19600000</v>
      </c>
      <c r="F4" s="5" t="n">
        <v>0.1866</v>
      </c>
      <c r="G4" s="6" t="n">
        <f aca="false">E4*(1+F4)</f>
        <v>23257360</v>
      </c>
      <c r="H4" s="5" t="n">
        <v>0.1626</v>
      </c>
      <c r="I4" s="6" t="n">
        <f aca="false">E4*H4</f>
        <v>3186960</v>
      </c>
      <c r="J4" s="7" t="n">
        <v>32</v>
      </c>
      <c r="K4" s="2" t="s">
        <v>24</v>
      </c>
      <c r="L4" s="8" t="n">
        <v>45722</v>
      </c>
    </row>
    <row r="5" customFormat="false" ht="15" hidden="false" customHeight="false" outlineLevel="0" collapsed="false">
      <c r="A5" s="2" t="s">
        <v>25</v>
      </c>
      <c r="B5" s="3" t="s">
        <v>26</v>
      </c>
      <c r="C5" s="2" t="s">
        <v>19</v>
      </c>
      <c r="D5" s="2" t="s">
        <v>20</v>
      </c>
      <c r="E5" s="4" t="n">
        <v>7400000</v>
      </c>
      <c r="F5" s="5" t="n">
        <v>0.1936</v>
      </c>
      <c r="G5" s="6" t="n">
        <f aca="false">E5*(1+F5)</f>
        <v>8832640</v>
      </c>
      <c r="H5" s="5" t="n">
        <v>0.1943</v>
      </c>
      <c r="I5" s="6" t="n">
        <f aca="false">E5*H5</f>
        <v>1437820</v>
      </c>
      <c r="J5" s="7" t="n">
        <v>43</v>
      </c>
      <c r="K5" s="2" t="s">
        <v>24</v>
      </c>
      <c r="L5" s="8" t="n">
        <v>45760</v>
      </c>
    </row>
    <row r="6" customFormat="false" ht="15" hidden="false" customHeight="false" outlineLevel="0" collapsed="false">
      <c r="A6" s="2" t="s">
        <v>27</v>
      </c>
      <c r="B6" s="3" t="s">
        <v>28</v>
      </c>
      <c r="C6" s="2" t="s">
        <v>29</v>
      </c>
      <c r="D6" s="2" t="s">
        <v>15</v>
      </c>
      <c r="E6" s="4" t="n">
        <v>26000000</v>
      </c>
      <c r="F6" s="5" t="n">
        <v>0.195</v>
      </c>
      <c r="G6" s="6" t="n">
        <f aca="false">E6*(1+F6)</f>
        <v>31070000</v>
      </c>
      <c r="H6" s="5" t="n">
        <v>0.018</v>
      </c>
      <c r="I6" s="6" t="n">
        <f aca="false">E6*H6</f>
        <v>468000</v>
      </c>
      <c r="J6" s="7" t="n">
        <v>44</v>
      </c>
      <c r="K6" s="2" t="s">
        <v>21</v>
      </c>
      <c r="L6" s="8" t="n">
        <v>45831</v>
      </c>
    </row>
    <row r="7" customFormat="false" ht="15" hidden="false" customHeight="false" outlineLevel="0" collapsed="false">
      <c r="A7" s="2" t="s">
        <v>30</v>
      </c>
      <c r="B7" s="3" t="s">
        <v>31</v>
      </c>
      <c r="C7" s="2" t="s">
        <v>19</v>
      </c>
      <c r="D7" s="2" t="s">
        <v>20</v>
      </c>
      <c r="E7" s="4" t="n">
        <v>133100000</v>
      </c>
      <c r="F7" s="5" t="n">
        <v>0.1854</v>
      </c>
      <c r="G7" s="6" t="n">
        <f aca="false">E7*(1+F7)</f>
        <v>157776740</v>
      </c>
      <c r="H7" s="5" t="n">
        <v>0.0724</v>
      </c>
      <c r="I7" s="6" t="n">
        <f aca="false">E7*H7</f>
        <v>9636440</v>
      </c>
      <c r="J7" s="7" t="n">
        <v>31</v>
      </c>
      <c r="K7" s="2" t="s">
        <v>21</v>
      </c>
      <c r="L7" s="8" t="n">
        <v>45827</v>
      </c>
    </row>
    <row r="8" customFormat="false" ht="15" hidden="false" customHeight="false" outlineLevel="0" collapsed="false">
      <c r="A8" s="2" t="s">
        <v>32</v>
      </c>
      <c r="B8" s="3" t="s">
        <v>33</v>
      </c>
      <c r="C8" s="2" t="s">
        <v>19</v>
      </c>
      <c r="D8" s="2" t="s">
        <v>20</v>
      </c>
      <c r="E8" s="4" t="n">
        <v>6200000</v>
      </c>
      <c r="F8" s="5" t="n">
        <v>0.1566</v>
      </c>
      <c r="G8" s="6" t="n">
        <f aca="false">E8*(1+F8)</f>
        <v>7170920</v>
      </c>
      <c r="H8" s="5" t="n">
        <v>0.0378</v>
      </c>
      <c r="I8" s="6" t="n">
        <f aca="false">E8*H8</f>
        <v>234360</v>
      </c>
      <c r="J8" s="7" t="n">
        <v>45</v>
      </c>
      <c r="K8" s="2" t="s">
        <v>21</v>
      </c>
      <c r="L8" s="8" t="n">
        <v>45866</v>
      </c>
    </row>
    <row r="9" customFormat="false" ht="15" hidden="false" customHeight="false" outlineLevel="0" collapsed="false">
      <c r="A9" s="2" t="s">
        <v>34</v>
      </c>
      <c r="B9" s="3" t="s">
        <v>35</v>
      </c>
      <c r="C9" s="2" t="s">
        <v>19</v>
      </c>
      <c r="D9" s="2" t="s">
        <v>15</v>
      </c>
      <c r="E9" s="4" t="n">
        <v>64500000</v>
      </c>
      <c r="F9" s="5" t="n">
        <v>0.1734</v>
      </c>
      <c r="G9" s="6" t="n">
        <f aca="false">E9*(1+F9)</f>
        <v>75684300</v>
      </c>
      <c r="H9" s="5" t="n">
        <v>0.0787</v>
      </c>
      <c r="I9" s="6" t="n">
        <f aca="false">E9*H9</f>
        <v>5076150</v>
      </c>
      <c r="J9" s="7" t="n">
        <v>31</v>
      </c>
      <c r="K9" s="2" t="s">
        <v>21</v>
      </c>
      <c r="L9" s="8" t="n">
        <v>45708</v>
      </c>
    </row>
    <row r="10" customFormat="false" ht="15" hidden="false" customHeight="false" outlineLevel="0" collapsed="false">
      <c r="A10" s="2" t="s">
        <v>36</v>
      </c>
      <c r="B10" s="3" t="s">
        <v>37</v>
      </c>
      <c r="C10" s="2" t="s">
        <v>19</v>
      </c>
      <c r="D10" s="2" t="s">
        <v>38</v>
      </c>
      <c r="E10" s="4" t="n">
        <v>159200000</v>
      </c>
      <c r="F10" s="5" t="n">
        <v>0.1596</v>
      </c>
      <c r="G10" s="6" t="n">
        <f aca="false">E10*(1+F10)</f>
        <v>184608320</v>
      </c>
      <c r="H10" s="5" t="n">
        <v>0.0147</v>
      </c>
      <c r="I10" s="6" t="n">
        <f aca="false">E10*H10</f>
        <v>2340240</v>
      </c>
      <c r="J10" s="7" t="n">
        <v>44</v>
      </c>
      <c r="K10" s="2" t="s">
        <v>21</v>
      </c>
      <c r="L10" s="8" t="n">
        <v>45894</v>
      </c>
    </row>
    <row r="11" customFormat="false" ht="15" hidden="false" customHeight="false" outlineLevel="0" collapsed="false">
      <c r="A11" s="2" t="s">
        <v>39</v>
      </c>
      <c r="B11" s="3" t="s">
        <v>40</v>
      </c>
      <c r="C11" s="2" t="s">
        <v>19</v>
      </c>
      <c r="D11" s="2" t="s">
        <v>15</v>
      </c>
      <c r="E11" s="4" t="n">
        <v>188500000</v>
      </c>
      <c r="F11" s="5" t="n">
        <v>0.1826</v>
      </c>
      <c r="G11" s="6" t="n">
        <f aca="false">E11*(1+F11)</f>
        <v>222920100</v>
      </c>
      <c r="H11" s="5" t="n">
        <v>0.1941</v>
      </c>
      <c r="I11" s="6" t="n">
        <f aca="false">E11*H11</f>
        <v>36587850</v>
      </c>
      <c r="J11" s="7" t="n">
        <v>30</v>
      </c>
      <c r="K11" s="2" t="s">
        <v>24</v>
      </c>
      <c r="L11" s="8" t="n">
        <v>45779</v>
      </c>
    </row>
    <row r="12" customFormat="false" ht="15" hidden="false" customHeight="false" outlineLevel="0" collapsed="false">
      <c r="A12" s="2" t="s">
        <v>41</v>
      </c>
      <c r="B12" s="3" t="s">
        <v>42</v>
      </c>
      <c r="C12" s="2" t="s">
        <v>19</v>
      </c>
      <c r="D12" s="2" t="s">
        <v>15</v>
      </c>
      <c r="E12" s="4" t="n">
        <v>122800000</v>
      </c>
      <c r="F12" s="5" t="n">
        <v>0.1529</v>
      </c>
      <c r="G12" s="6" t="n">
        <f aca="false">E12*(1+F12)</f>
        <v>141576120</v>
      </c>
      <c r="H12" s="5" t="n">
        <v>0.0312</v>
      </c>
      <c r="I12" s="6" t="n">
        <f aca="false">E12*H12</f>
        <v>3831360</v>
      </c>
      <c r="J12" s="7" t="n">
        <v>42</v>
      </c>
      <c r="K12" s="2" t="s">
        <v>21</v>
      </c>
      <c r="L12" s="8" t="n">
        <v>45890</v>
      </c>
    </row>
    <row r="13" customFormat="false" ht="15" hidden="false" customHeight="false" outlineLevel="0" collapsed="false">
      <c r="A13" s="2" t="s">
        <v>43</v>
      </c>
      <c r="B13" s="3" t="s">
        <v>44</v>
      </c>
      <c r="C13" s="2" t="s">
        <v>19</v>
      </c>
      <c r="D13" s="2" t="s">
        <v>15</v>
      </c>
      <c r="E13" s="4" t="n">
        <v>37900000</v>
      </c>
      <c r="F13" s="5" t="n">
        <v>0.1595</v>
      </c>
      <c r="G13" s="6" t="n">
        <f aca="false">E13*(1+F13)</f>
        <v>43945050</v>
      </c>
      <c r="H13" s="5" t="n">
        <v>0.1663</v>
      </c>
      <c r="I13" s="6" t="n">
        <f aca="false">E13*H13</f>
        <v>6302770</v>
      </c>
      <c r="J13" s="7" t="n">
        <v>36</v>
      </c>
      <c r="K13" s="2" t="s">
        <v>24</v>
      </c>
      <c r="L13" s="8" t="n">
        <v>45689</v>
      </c>
    </row>
    <row r="14" customFormat="false" ht="15" hidden="false" customHeight="false" outlineLevel="0" collapsed="false">
      <c r="A14" s="2" t="s">
        <v>45</v>
      </c>
      <c r="B14" s="3" t="s">
        <v>46</v>
      </c>
      <c r="C14" s="2" t="s">
        <v>29</v>
      </c>
      <c r="D14" s="2" t="s">
        <v>20</v>
      </c>
      <c r="E14" s="4" t="n">
        <v>58600000</v>
      </c>
      <c r="F14" s="5" t="n">
        <v>0.198</v>
      </c>
      <c r="G14" s="6" t="n">
        <f aca="false">E14*(1+F14)</f>
        <v>70202800</v>
      </c>
      <c r="H14" s="5" t="n">
        <v>0.0848</v>
      </c>
      <c r="I14" s="6" t="n">
        <f aca="false">E14*H14</f>
        <v>4969280</v>
      </c>
      <c r="J14" s="7" t="n">
        <v>32</v>
      </c>
      <c r="K14" s="2" t="s">
        <v>16</v>
      </c>
      <c r="L14" s="8" t="n">
        <v>45692</v>
      </c>
    </row>
    <row r="15" customFormat="false" ht="15" hidden="false" customHeight="false" outlineLevel="0" collapsed="false">
      <c r="A15" s="2" t="s">
        <v>47</v>
      </c>
      <c r="B15" s="3" t="s">
        <v>48</v>
      </c>
      <c r="C15" s="2" t="s">
        <v>49</v>
      </c>
      <c r="D15" s="2" t="s">
        <v>20</v>
      </c>
      <c r="E15" s="4" t="n">
        <v>6200000</v>
      </c>
      <c r="F15" s="5" t="n">
        <v>0.1797</v>
      </c>
      <c r="G15" s="6" t="n">
        <f aca="false">E15*(1+F15)</f>
        <v>7314140</v>
      </c>
      <c r="H15" s="5" t="n">
        <v>0.0467</v>
      </c>
      <c r="I15" s="6" t="n">
        <f aca="false">E15*H15</f>
        <v>289540</v>
      </c>
      <c r="J15" s="7" t="n">
        <v>32</v>
      </c>
      <c r="K15" s="2" t="s">
        <v>21</v>
      </c>
      <c r="L15" s="8" t="n">
        <v>45925</v>
      </c>
    </row>
    <row r="16" customFormat="false" ht="15" hidden="false" customHeight="false" outlineLevel="0" collapsed="false">
      <c r="A16" s="2" t="s">
        <v>50</v>
      </c>
      <c r="B16" s="3" t="s">
        <v>51</v>
      </c>
      <c r="C16" s="2" t="s">
        <v>19</v>
      </c>
      <c r="D16" s="2" t="s">
        <v>15</v>
      </c>
      <c r="E16" s="4" t="n">
        <v>20400000</v>
      </c>
      <c r="F16" s="5" t="n">
        <v>0.1633</v>
      </c>
      <c r="G16" s="6" t="n">
        <f aca="false">E16*(1+F16)</f>
        <v>23731320</v>
      </c>
      <c r="H16" s="5" t="n">
        <v>0.024</v>
      </c>
      <c r="I16" s="6" t="n">
        <f aca="false">E16*H16</f>
        <v>489600</v>
      </c>
      <c r="J16" s="7" t="n">
        <v>34</v>
      </c>
      <c r="K16" s="2" t="s">
        <v>21</v>
      </c>
      <c r="L16" s="8" t="n">
        <v>45819</v>
      </c>
    </row>
    <row r="17" customFormat="false" ht="15" hidden="false" customHeight="false" outlineLevel="0" collapsed="false">
      <c r="A17" s="2" t="s">
        <v>52</v>
      </c>
      <c r="B17" s="3" t="s">
        <v>23</v>
      </c>
      <c r="C17" s="2" t="s">
        <v>14</v>
      </c>
      <c r="D17" s="2" t="s">
        <v>15</v>
      </c>
      <c r="E17" s="4" t="n">
        <v>190400000</v>
      </c>
      <c r="F17" s="5" t="n">
        <v>0.1769</v>
      </c>
      <c r="G17" s="6" t="n">
        <f aca="false">E17*(1+F17)</f>
        <v>224081760</v>
      </c>
      <c r="H17" s="5" t="n">
        <v>0.0279</v>
      </c>
      <c r="I17" s="6" t="n">
        <f aca="false">E17*H17</f>
        <v>5312160</v>
      </c>
      <c r="J17" s="7" t="n">
        <v>38</v>
      </c>
      <c r="K17" s="2" t="s">
        <v>21</v>
      </c>
      <c r="L17" s="8" t="n">
        <v>45693</v>
      </c>
    </row>
    <row r="18" customFormat="false" ht="15" hidden="false" customHeight="false" outlineLevel="0" collapsed="false">
      <c r="A18" s="2" t="s">
        <v>53</v>
      </c>
      <c r="B18" s="3" t="s">
        <v>54</v>
      </c>
      <c r="C18" s="2" t="s">
        <v>29</v>
      </c>
      <c r="D18" s="2" t="s">
        <v>20</v>
      </c>
      <c r="E18" s="4" t="n">
        <v>6800000</v>
      </c>
      <c r="F18" s="5" t="n">
        <v>0.1992</v>
      </c>
      <c r="G18" s="6" t="n">
        <f aca="false">E18*(1+F18)</f>
        <v>8154560</v>
      </c>
      <c r="H18" s="5" t="n">
        <v>0.0444</v>
      </c>
      <c r="I18" s="6" t="n">
        <f aca="false">E18*H18</f>
        <v>301920</v>
      </c>
      <c r="J18" s="7" t="n">
        <v>30</v>
      </c>
      <c r="K18" s="2" t="s">
        <v>21</v>
      </c>
      <c r="L18" s="8" t="n">
        <v>45997</v>
      </c>
    </row>
    <row r="19" customFormat="false" ht="15" hidden="false" customHeight="false" outlineLevel="0" collapsed="false">
      <c r="A19" s="2" t="s">
        <v>55</v>
      </c>
      <c r="B19" s="3" t="s">
        <v>56</v>
      </c>
      <c r="C19" s="2" t="s">
        <v>19</v>
      </c>
      <c r="D19" s="2" t="s">
        <v>15</v>
      </c>
      <c r="E19" s="4" t="n">
        <v>181700000</v>
      </c>
      <c r="F19" s="5" t="n">
        <v>0.1777</v>
      </c>
      <c r="G19" s="6" t="n">
        <f aca="false">E19*(1+F19)</f>
        <v>213988090</v>
      </c>
      <c r="H19" s="5" t="n">
        <v>0.0169</v>
      </c>
      <c r="I19" s="6" t="n">
        <f aca="false">E19*H19</f>
        <v>3070730</v>
      </c>
      <c r="J19" s="7" t="n">
        <v>38</v>
      </c>
      <c r="K19" s="2" t="s">
        <v>21</v>
      </c>
      <c r="L19" s="8" t="n">
        <v>45833</v>
      </c>
    </row>
    <row r="20" customFormat="false" ht="15" hidden="false" customHeight="false" outlineLevel="0" collapsed="false">
      <c r="A20" s="2" t="s">
        <v>57</v>
      </c>
      <c r="B20" s="3" t="s">
        <v>58</v>
      </c>
      <c r="C20" s="2" t="s">
        <v>19</v>
      </c>
      <c r="D20" s="2" t="s">
        <v>20</v>
      </c>
      <c r="E20" s="4" t="n">
        <v>35400000</v>
      </c>
      <c r="F20" s="5" t="n">
        <v>0.1953</v>
      </c>
      <c r="G20" s="6" t="n">
        <f aca="false">E20*(1+F20)</f>
        <v>42313620</v>
      </c>
      <c r="H20" s="5" t="n">
        <v>0.0339</v>
      </c>
      <c r="I20" s="6" t="n">
        <f aca="false">E20*H20</f>
        <v>1200060</v>
      </c>
      <c r="J20" s="7" t="n">
        <v>31</v>
      </c>
      <c r="K20" s="2" t="s">
        <v>21</v>
      </c>
      <c r="L20" s="8" t="n">
        <v>45799</v>
      </c>
    </row>
    <row r="21" customFormat="false" ht="15" hidden="false" customHeight="false" outlineLevel="0" collapsed="false">
      <c r="A21" s="2" t="s">
        <v>59</v>
      </c>
      <c r="B21" s="3" t="s">
        <v>60</v>
      </c>
      <c r="C21" s="2" t="s">
        <v>19</v>
      </c>
      <c r="D21" s="2" t="s">
        <v>15</v>
      </c>
      <c r="E21" s="4" t="n">
        <v>100000000</v>
      </c>
      <c r="F21" s="5" t="n">
        <v>0.1871</v>
      </c>
      <c r="G21" s="6" t="n">
        <f aca="false">E21*(1+F21)</f>
        <v>118710000</v>
      </c>
      <c r="H21" s="5" t="n">
        <v>0.0089</v>
      </c>
      <c r="I21" s="6" t="n">
        <f aca="false">E21*H21</f>
        <v>890000</v>
      </c>
      <c r="J21" s="7" t="n">
        <v>43</v>
      </c>
      <c r="K21" s="2" t="s">
        <v>21</v>
      </c>
      <c r="L21" s="8" t="n">
        <v>46011</v>
      </c>
    </row>
    <row r="22" customFormat="false" ht="15" hidden="false" customHeight="false" outlineLevel="0" collapsed="false">
      <c r="A22" s="2" t="s">
        <v>61</v>
      </c>
      <c r="B22" s="3" t="s">
        <v>62</v>
      </c>
      <c r="C22" s="2" t="s">
        <v>14</v>
      </c>
      <c r="D22" s="2" t="s">
        <v>38</v>
      </c>
      <c r="E22" s="4" t="n">
        <v>31800000</v>
      </c>
      <c r="F22" s="5" t="n">
        <v>0.1574</v>
      </c>
      <c r="G22" s="6" t="n">
        <f aca="false">E22*(1+F22)</f>
        <v>36805320</v>
      </c>
      <c r="H22" s="5" t="n">
        <v>0.0292</v>
      </c>
      <c r="I22" s="6" t="n">
        <f aca="false">E22*H22</f>
        <v>928560</v>
      </c>
      <c r="J22" s="7" t="n">
        <v>34</v>
      </c>
      <c r="K22" s="2" t="s">
        <v>21</v>
      </c>
      <c r="L22" s="8" t="n">
        <v>45678</v>
      </c>
    </row>
    <row r="23" customFormat="false" ht="15" hidden="false" customHeight="false" outlineLevel="0" collapsed="false">
      <c r="A23" s="2" t="s">
        <v>63</v>
      </c>
      <c r="B23" s="3" t="s">
        <v>64</v>
      </c>
      <c r="C23" s="2" t="s">
        <v>14</v>
      </c>
      <c r="D23" s="2" t="s">
        <v>20</v>
      </c>
      <c r="E23" s="4" t="n">
        <v>6100000</v>
      </c>
      <c r="F23" s="5" t="n">
        <v>0.189</v>
      </c>
      <c r="G23" s="6" t="n">
        <f aca="false">E23*(1+F23)</f>
        <v>7252900</v>
      </c>
      <c r="H23" s="5" t="n">
        <v>0.18</v>
      </c>
      <c r="I23" s="6" t="n">
        <f aca="false">E23*H23</f>
        <v>1098000</v>
      </c>
      <c r="J23" s="7" t="n">
        <v>43</v>
      </c>
      <c r="K23" s="2" t="s">
        <v>24</v>
      </c>
      <c r="L23" s="8" t="n">
        <v>45779</v>
      </c>
    </row>
    <row r="24" customFormat="false" ht="15" hidden="false" customHeight="false" outlineLevel="0" collapsed="false">
      <c r="A24" s="2" t="s">
        <v>65</v>
      </c>
      <c r="B24" s="3" t="s">
        <v>66</v>
      </c>
      <c r="C24" s="2" t="s">
        <v>29</v>
      </c>
      <c r="D24" s="2" t="s">
        <v>38</v>
      </c>
      <c r="E24" s="4" t="n">
        <v>196400000</v>
      </c>
      <c r="F24" s="5" t="n">
        <v>0.159</v>
      </c>
      <c r="G24" s="6" t="n">
        <f aca="false">E24*(1+F24)</f>
        <v>227627600</v>
      </c>
      <c r="H24" s="5" t="n">
        <v>0.1088</v>
      </c>
      <c r="I24" s="6" t="n">
        <f aca="false">E24*H24</f>
        <v>21368320</v>
      </c>
      <c r="J24" s="7" t="n">
        <v>40</v>
      </c>
      <c r="K24" s="2" t="s">
        <v>16</v>
      </c>
      <c r="L24" s="8" t="n">
        <v>46000</v>
      </c>
    </row>
    <row r="25" customFormat="false" ht="15" hidden="false" customHeight="false" outlineLevel="0" collapsed="false">
      <c r="A25" s="2" t="s">
        <v>67</v>
      </c>
      <c r="B25" s="3" t="s">
        <v>68</v>
      </c>
      <c r="C25" s="2" t="s">
        <v>29</v>
      </c>
      <c r="D25" s="2" t="s">
        <v>20</v>
      </c>
      <c r="E25" s="4" t="n">
        <v>9100000</v>
      </c>
      <c r="F25" s="5" t="n">
        <v>0.1936</v>
      </c>
      <c r="G25" s="6" t="n">
        <f aca="false">E25*(1+F25)</f>
        <v>10861760</v>
      </c>
      <c r="H25" s="5" t="n">
        <v>0.0653</v>
      </c>
      <c r="I25" s="6" t="n">
        <f aca="false">E25*H25</f>
        <v>594230</v>
      </c>
      <c r="J25" s="7" t="n">
        <v>45</v>
      </c>
      <c r="K25" s="2" t="s">
        <v>21</v>
      </c>
      <c r="L25" s="8" t="n">
        <v>45893</v>
      </c>
    </row>
    <row r="26" customFormat="false" ht="15" hidden="false" customHeight="false" outlineLevel="0" collapsed="false">
      <c r="A26" s="2" t="s">
        <v>69</v>
      </c>
      <c r="B26" s="3" t="s">
        <v>70</v>
      </c>
      <c r="C26" s="2" t="s">
        <v>19</v>
      </c>
      <c r="D26" s="2" t="s">
        <v>38</v>
      </c>
      <c r="E26" s="4" t="n">
        <v>9100000</v>
      </c>
      <c r="F26" s="5" t="n">
        <v>0.183</v>
      </c>
      <c r="G26" s="6" t="n">
        <f aca="false">E26*(1+F26)</f>
        <v>10765300</v>
      </c>
      <c r="H26" s="5" t="n">
        <v>0.0691</v>
      </c>
      <c r="I26" s="6" t="n">
        <f aca="false">E26*H26</f>
        <v>628810</v>
      </c>
      <c r="J26" s="7" t="n">
        <v>42</v>
      </c>
      <c r="K26" s="2" t="s">
        <v>21</v>
      </c>
      <c r="L26" s="8" t="n">
        <v>45800</v>
      </c>
    </row>
    <row r="27" customFormat="false" ht="15" hidden="false" customHeight="false" outlineLevel="0" collapsed="false">
      <c r="A27" s="2" t="s">
        <v>71</v>
      </c>
      <c r="B27" s="3" t="s">
        <v>72</v>
      </c>
      <c r="C27" s="2" t="s">
        <v>19</v>
      </c>
      <c r="D27" s="2" t="s">
        <v>20</v>
      </c>
      <c r="E27" s="4" t="n">
        <v>7500000</v>
      </c>
      <c r="F27" s="5" t="n">
        <v>0.1558</v>
      </c>
      <c r="G27" s="6" t="n">
        <f aca="false">E27*(1+F27)</f>
        <v>8668500</v>
      </c>
      <c r="H27" s="5" t="n">
        <v>0.077</v>
      </c>
      <c r="I27" s="6" t="n">
        <f aca="false">E27*H27</f>
        <v>577500</v>
      </c>
      <c r="J27" s="7" t="n">
        <v>38</v>
      </c>
      <c r="K27" s="2" t="s">
        <v>21</v>
      </c>
      <c r="L27" s="8" t="n">
        <v>45793</v>
      </c>
    </row>
    <row r="28" customFormat="false" ht="15" hidden="false" customHeight="false" outlineLevel="0" collapsed="false">
      <c r="A28" s="2" t="s">
        <v>73</v>
      </c>
      <c r="B28" s="3" t="s">
        <v>74</v>
      </c>
      <c r="C28" s="2" t="s">
        <v>19</v>
      </c>
      <c r="D28" s="2" t="s">
        <v>15</v>
      </c>
      <c r="E28" s="4" t="n">
        <v>139500000</v>
      </c>
      <c r="F28" s="5" t="n">
        <v>0.1803</v>
      </c>
      <c r="G28" s="6" t="n">
        <f aca="false">E28*(1+F28)</f>
        <v>164651850</v>
      </c>
      <c r="H28" s="5" t="n">
        <v>0.0461</v>
      </c>
      <c r="I28" s="6" t="n">
        <f aca="false">E28*H28</f>
        <v>6430950</v>
      </c>
      <c r="J28" s="7" t="n">
        <v>33</v>
      </c>
      <c r="K28" s="2" t="s">
        <v>21</v>
      </c>
      <c r="L28" s="8" t="n">
        <v>45788</v>
      </c>
    </row>
    <row r="29" customFormat="false" ht="15" hidden="false" customHeight="false" outlineLevel="0" collapsed="false">
      <c r="A29" s="2" t="s">
        <v>75</v>
      </c>
      <c r="B29" s="3" t="s">
        <v>76</v>
      </c>
      <c r="C29" s="2" t="s">
        <v>19</v>
      </c>
      <c r="D29" s="2" t="s">
        <v>15</v>
      </c>
      <c r="E29" s="4" t="n">
        <v>115400000</v>
      </c>
      <c r="F29" s="5" t="n">
        <v>0.1716</v>
      </c>
      <c r="G29" s="6" t="n">
        <f aca="false">E29*(1+F29)</f>
        <v>135202640</v>
      </c>
      <c r="H29" s="5" t="n">
        <v>0.0531</v>
      </c>
      <c r="I29" s="6" t="n">
        <f aca="false">E29*H29</f>
        <v>6127740</v>
      </c>
      <c r="J29" s="7" t="n">
        <v>40</v>
      </c>
      <c r="K29" s="2" t="s">
        <v>21</v>
      </c>
      <c r="L29" s="8" t="n">
        <v>45721</v>
      </c>
    </row>
    <row r="30" customFormat="false" ht="15" hidden="false" customHeight="false" outlineLevel="0" collapsed="false">
      <c r="A30" s="2" t="s">
        <v>77</v>
      </c>
      <c r="B30" s="3" t="s">
        <v>78</v>
      </c>
      <c r="C30" s="2" t="s">
        <v>29</v>
      </c>
      <c r="D30" s="2" t="s">
        <v>20</v>
      </c>
      <c r="E30" s="4" t="n">
        <v>6500000</v>
      </c>
      <c r="F30" s="5" t="n">
        <v>0.1701</v>
      </c>
      <c r="G30" s="6" t="n">
        <f aca="false">E30*(1+F30)</f>
        <v>7605650</v>
      </c>
      <c r="H30" s="5" t="n">
        <v>0.0153</v>
      </c>
      <c r="I30" s="6" t="n">
        <f aca="false">E30*H30</f>
        <v>99450</v>
      </c>
      <c r="J30" s="7" t="n">
        <v>39</v>
      </c>
      <c r="K30" s="2" t="s">
        <v>21</v>
      </c>
      <c r="L30" s="8" t="n">
        <v>45998</v>
      </c>
    </row>
    <row r="31" customFormat="false" ht="15" hidden="false" customHeight="false" outlineLevel="0" collapsed="false">
      <c r="A31" s="2" t="s">
        <v>79</v>
      </c>
      <c r="B31" s="3" t="s">
        <v>80</v>
      </c>
      <c r="C31" s="2" t="s">
        <v>14</v>
      </c>
      <c r="D31" s="2" t="s">
        <v>38</v>
      </c>
      <c r="E31" s="4" t="n">
        <v>37100000</v>
      </c>
      <c r="F31" s="5" t="n">
        <v>0.165</v>
      </c>
      <c r="G31" s="6" t="n">
        <f aca="false">E31*(1+F31)</f>
        <v>43221500</v>
      </c>
      <c r="H31" s="5" t="n">
        <v>0.0168</v>
      </c>
      <c r="I31" s="6" t="n">
        <f aca="false">E31*H31</f>
        <v>623280</v>
      </c>
      <c r="J31" s="7" t="n">
        <v>30</v>
      </c>
      <c r="K31" s="2" t="s">
        <v>21</v>
      </c>
      <c r="L31" s="8" t="n">
        <v>45954</v>
      </c>
    </row>
    <row r="32" customFormat="false" ht="15" hidden="false" customHeight="false" outlineLevel="0" collapsed="false">
      <c r="A32" s="2" t="s">
        <v>81</v>
      </c>
      <c r="B32" s="3" t="s">
        <v>13</v>
      </c>
      <c r="C32" s="2" t="s">
        <v>49</v>
      </c>
      <c r="D32" s="2" t="s">
        <v>15</v>
      </c>
      <c r="E32" s="4" t="n">
        <v>98300000</v>
      </c>
      <c r="F32" s="5" t="n">
        <v>0.1737</v>
      </c>
      <c r="G32" s="6" t="n">
        <f aca="false">E32*(1+F32)</f>
        <v>115374710</v>
      </c>
      <c r="H32" s="5" t="n">
        <v>0.0227</v>
      </c>
      <c r="I32" s="6" t="n">
        <f aca="false">E32*H32</f>
        <v>2231410</v>
      </c>
      <c r="J32" s="7" t="n">
        <v>35</v>
      </c>
      <c r="K32" s="2" t="s">
        <v>21</v>
      </c>
      <c r="L32" s="8" t="n">
        <v>45997</v>
      </c>
    </row>
    <row r="33" customFormat="false" ht="15" hidden="false" customHeight="false" outlineLevel="0" collapsed="false">
      <c r="A33" s="2" t="s">
        <v>82</v>
      </c>
      <c r="B33" s="3" t="s">
        <v>83</v>
      </c>
      <c r="C33" s="2" t="s">
        <v>49</v>
      </c>
      <c r="D33" s="2" t="s">
        <v>38</v>
      </c>
      <c r="E33" s="4" t="n">
        <v>100300000</v>
      </c>
      <c r="F33" s="5" t="n">
        <v>0.1655</v>
      </c>
      <c r="G33" s="6" t="n">
        <f aca="false">E33*(1+F33)</f>
        <v>116899650</v>
      </c>
      <c r="H33" s="5" t="n">
        <v>0.0037</v>
      </c>
      <c r="I33" s="6" t="n">
        <f aca="false">E33*H33</f>
        <v>371110</v>
      </c>
      <c r="J33" s="7" t="n">
        <v>36</v>
      </c>
      <c r="K33" s="2" t="s">
        <v>21</v>
      </c>
      <c r="L33" s="8" t="n">
        <v>45901</v>
      </c>
    </row>
    <row r="34" customFormat="false" ht="15" hidden="false" customHeight="false" outlineLevel="0" collapsed="false">
      <c r="A34" s="2" t="s">
        <v>84</v>
      </c>
      <c r="B34" s="3" t="s">
        <v>85</v>
      </c>
      <c r="C34" s="2" t="s">
        <v>49</v>
      </c>
      <c r="D34" s="2" t="s">
        <v>15</v>
      </c>
      <c r="E34" s="4" t="n">
        <v>165300000</v>
      </c>
      <c r="F34" s="5" t="n">
        <v>0.1848</v>
      </c>
      <c r="G34" s="6" t="n">
        <f aca="false">E34*(1+F34)</f>
        <v>195847440</v>
      </c>
      <c r="H34" s="5" t="n">
        <v>0.0118</v>
      </c>
      <c r="I34" s="6" t="n">
        <f aca="false">E34*H34</f>
        <v>1950540</v>
      </c>
      <c r="J34" s="7" t="n">
        <v>45</v>
      </c>
      <c r="K34" s="2" t="s">
        <v>21</v>
      </c>
      <c r="L34" s="8" t="n">
        <v>46010</v>
      </c>
    </row>
    <row r="35" customFormat="false" ht="15" hidden="false" customHeight="false" outlineLevel="0" collapsed="false">
      <c r="A35" s="2" t="s">
        <v>86</v>
      </c>
      <c r="B35" s="3" t="s">
        <v>87</v>
      </c>
      <c r="C35" s="2" t="s">
        <v>19</v>
      </c>
      <c r="D35" s="2" t="s">
        <v>38</v>
      </c>
      <c r="E35" s="4" t="n">
        <v>8800000</v>
      </c>
      <c r="F35" s="5" t="n">
        <v>0.1713</v>
      </c>
      <c r="G35" s="6" t="n">
        <f aca="false">E35*(1+F35)</f>
        <v>10307440</v>
      </c>
      <c r="H35" s="5" t="n">
        <v>0.1287</v>
      </c>
      <c r="I35" s="6" t="n">
        <f aca="false">E35*H35</f>
        <v>1132560</v>
      </c>
      <c r="J35" s="7" t="n">
        <v>35</v>
      </c>
      <c r="K35" s="2" t="s">
        <v>16</v>
      </c>
      <c r="L35" s="8" t="n">
        <v>45895</v>
      </c>
    </row>
    <row r="36" customFormat="false" ht="15" hidden="false" customHeight="false" outlineLevel="0" collapsed="false">
      <c r="A36" s="2" t="s">
        <v>88</v>
      </c>
      <c r="B36" s="3" t="s">
        <v>89</v>
      </c>
      <c r="C36" s="2" t="s">
        <v>19</v>
      </c>
      <c r="D36" s="2" t="s">
        <v>38</v>
      </c>
      <c r="E36" s="4" t="n">
        <v>6200000</v>
      </c>
      <c r="F36" s="5" t="n">
        <v>0.1901</v>
      </c>
      <c r="G36" s="6" t="n">
        <f aca="false">E36*(1+F36)</f>
        <v>7378620</v>
      </c>
      <c r="H36" s="5" t="n">
        <v>0.1913</v>
      </c>
      <c r="I36" s="6" t="n">
        <f aca="false">E36*H36</f>
        <v>1186060</v>
      </c>
      <c r="J36" s="7" t="n">
        <v>40</v>
      </c>
      <c r="K36" s="2" t="s">
        <v>24</v>
      </c>
      <c r="L36" s="8" t="n">
        <v>45916</v>
      </c>
    </row>
    <row r="37" customFormat="false" ht="15" hidden="false" customHeight="false" outlineLevel="0" collapsed="false">
      <c r="A37" s="2" t="s">
        <v>90</v>
      </c>
      <c r="B37" s="3" t="s">
        <v>91</v>
      </c>
      <c r="C37" s="2" t="s">
        <v>49</v>
      </c>
      <c r="D37" s="2" t="s">
        <v>20</v>
      </c>
      <c r="E37" s="4" t="n">
        <v>46300000</v>
      </c>
      <c r="F37" s="5" t="n">
        <v>0.1725</v>
      </c>
      <c r="G37" s="6" t="n">
        <f aca="false">E37*(1+F37)</f>
        <v>54286750</v>
      </c>
      <c r="H37" s="5" t="n">
        <v>0.0994</v>
      </c>
      <c r="I37" s="6" t="n">
        <f aca="false">E37*H37</f>
        <v>4602220</v>
      </c>
      <c r="J37" s="7" t="n">
        <v>37</v>
      </c>
      <c r="K37" s="2" t="s">
        <v>16</v>
      </c>
      <c r="L37" s="8" t="n">
        <v>45924</v>
      </c>
    </row>
    <row r="38" customFormat="false" ht="15" hidden="false" customHeight="false" outlineLevel="0" collapsed="false">
      <c r="A38" s="2" t="s">
        <v>92</v>
      </c>
      <c r="B38" s="3" t="s">
        <v>93</v>
      </c>
      <c r="C38" s="2" t="s">
        <v>49</v>
      </c>
      <c r="D38" s="2" t="s">
        <v>20</v>
      </c>
      <c r="E38" s="4" t="n">
        <v>19600000</v>
      </c>
      <c r="F38" s="5" t="n">
        <v>0.1636</v>
      </c>
      <c r="G38" s="6" t="n">
        <f aca="false">E38*(1+F38)</f>
        <v>22806560</v>
      </c>
      <c r="H38" s="5" t="n">
        <v>0.0856</v>
      </c>
      <c r="I38" s="6" t="n">
        <f aca="false">E38*H38</f>
        <v>1677760</v>
      </c>
      <c r="J38" s="7" t="n">
        <v>40</v>
      </c>
      <c r="K38" s="2" t="s">
        <v>16</v>
      </c>
      <c r="L38" s="8" t="n">
        <v>45735</v>
      </c>
    </row>
    <row r="39" customFormat="false" ht="15" hidden="false" customHeight="false" outlineLevel="0" collapsed="false">
      <c r="A39" s="2" t="s">
        <v>94</v>
      </c>
      <c r="B39" s="3" t="s">
        <v>95</v>
      </c>
      <c r="C39" s="2" t="s">
        <v>19</v>
      </c>
      <c r="D39" s="2" t="s">
        <v>15</v>
      </c>
      <c r="E39" s="4" t="n">
        <v>37800000</v>
      </c>
      <c r="F39" s="5" t="n">
        <v>0.1704</v>
      </c>
      <c r="G39" s="6" t="n">
        <f aca="false">E39*(1+F39)</f>
        <v>44241120</v>
      </c>
      <c r="H39" s="5" t="n">
        <v>0.0165</v>
      </c>
      <c r="I39" s="6" t="n">
        <f aca="false">E39*H39</f>
        <v>623700</v>
      </c>
      <c r="J39" s="7" t="n">
        <v>44</v>
      </c>
      <c r="K39" s="2" t="s">
        <v>21</v>
      </c>
      <c r="L39" s="8" t="n">
        <v>45873</v>
      </c>
    </row>
    <row r="40" customFormat="false" ht="15" hidden="false" customHeight="false" outlineLevel="0" collapsed="false">
      <c r="A40" s="2" t="s">
        <v>96</v>
      </c>
      <c r="B40" s="3" t="s">
        <v>97</v>
      </c>
      <c r="C40" s="2" t="s">
        <v>19</v>
      </c>
      <c r="D40" s="2" t="s">
        <v>38</v>
      </c>
      <c r="E40" s="4" t="n">
        <v>40800000</v>
      </c>
      <c r="F40" s="5" t="n">
        <v>0.194</v>
      </c>
      <c r="G40" s="6" t="n">
        <f aca="false">E40*(1+F40)</f>
        <v>48715200</v>
      </c>
      <c r="H40" s="5" t="n">
        <v>0.0754</v>
      </c>
      <c r="I40" s="6" t="n">
        <f aca="false">E40*H40</f>
        <v>3076320</v>
      </c>
      <c r="J40" s="7" t="n">
        <v>42</v>
      </c>
      <c r="K40" s="2" t="s">
        <v>21</v>
      </c>
      <c r="L40" s="8" t="n">
        <v>45810</v>
      </c>
    </row>
    <row r="41" customFormat="false" ht="15" hidden="false" customHeight="false" outlineLevel="0" collapsed="false">
      <c r="A41" s="2" t="s">
        <v>98</v>
      </c>
      <c r="B41" s="3" t="s">
        <v>99</v>
      </c>
      <c r="C41" s="2" t="s">
        <v>29</v>
      </c>
      <c r="D41" s="2" t="s">
        <v>38</v>
      </c>
      <c r="E41" s="4" t="n">
        <v>178000000</v>
      </c>
      <c r="F41" s="5" t="n">
        <v>0.1874</v>
      </c>
      <c r="G41" s="6" t="n">
        <f aca="false">E41*(1+F41)</f>
        <v>211357200</v>
      </c>
      <c r="H41" s="5" t="n">
        <v>0.0218</v>
      </c>
      <c r="I41" s="6" t="n">
        <f aca="false">E41*H41</f>
        <v>3880400</v>
      </c>
      <c r="J41" s="7" t="n">
        <v>37</v>
      </c>
      <c r="K41" s="2" t="s">
        <v>21</v>
      </c>
      <c r="L41" s="8" t="n">
        <v>45906</v>
      </c>
    </row>
    <row r="42" customFormat="false" ht="15" hidden="false" customHeight="false" outlineLevel="0" collapsed="false">
      <c r="A42" s="2" t="s">
        <v>100</v>
      </c>
      <c r="B42" s="3" t="s">
        <v>101</v>
      </c>
      <c r="C42" s="2" t="s">
        <v>19</v>
      </c>
      <c r="D42" s="2" t="s">
        <v>15</v>
      </c>
      <c r="E42" s="4" t="n">
        <v>23400000</v>
      </c>
      <c r="F42" s="5" t="n">
        <v>0.1583</v>
      </c>
      <c r="G42" s="6" t="n">
        <f aca="false">E42*(1+F42)</f>
        <v>27104220</v>
      </c>
      <c r="H42" s="5" t="n">
        <v>0.1985</v>
      </c>
      <c r="I42" s="6" t="n">
        <f aca="false">E42*H42</f>
        <v>4644900</v>
      </c>
      <c r="J42" s="7" t="n">
        <v>44</v>
      </c>
      <c r="K42" s="2" t="s">
        <v>24</v>
      </c>
      <c r="L42" s="8" t="n">
        <v>45671</v>
      </c>
    </row>
    <row r="43" customFormat="false" ht="15" hidden="false" customHeight="false" outlineLevel="0" collapsed="false">
      <c r="A43" s="2" t="s">
        <v>102</v>
      </c>
      <c r="B43" s="3" t="s">
        <v>103</v>
      </c>
      <c r="C43" s="2" t="s">
        <v>14</v>
      </c>
      <c r="D43" s="2" t="s">
        <v>15</v>
      </c>
      <c r="E43" s="4" t="n">
        <v>33700000</v>
      </c>
      <c r="F43" s="5" t="n">
        <v>0.1714</v>
      </c>
      <c r="G43" s="6" t="n">
        <f aca="false">E43*(1+F43)</f>
        <v>39476180</v>
      </c>
      <c r="H43" s="5" t="n">
        <v>0.0208</v>
      </c>
      <c r="I43" s="6" t="n">
        <f aca="false">E43*H43</f>
        <v>700960</v>
      </c>
      <c r="J43" s="7" t="n">
        <v>44</v>
      </c>
      <c r="K43" s="2" t="s">
        <v>21</v>
      </c>
      <c r="L43" s="8" t="n">
        <v>45825</v>
      </c>
    </row>
    <row r="44" customFormat="false" ht="15" hidden="false" customHeight="false" outlineLevel="0" collapsed="false">
      <c r="A44" s="2" t="s">
        <v>104</v>
      </c>
      <c r="B44" s="3" t="s">
        <v>105</v>
      </c>
      <c r="C44" s="2" t="s">
        <v>19</v>
      </c>
      <c r="D44" s="2" t="s">
        <v>15</v>
      </c>
      <c r="E44" s="4" t="n">
        <v>23100000</v>
      </c>
      <c r="F44" s="5" t="n">
        <v>0.1876</v>
      </c>
      <c r="G44" s="6" t="n">
        <f aca="false">E44*(1+F44)</f>
        <v>27433560</v>
      </c>
      <c r="H44" s="5" t="n">
        <v>0.0066</v>
      </c>
      <c r="I44" s="6" t="n">
        <f aca="false">E44*H44</f>
        <v>152460</v>
      </c>
      <c r="J44" s="7" t="n">
        <v>43</v>
      </c>
      <c r="K44" s="2" t="s">
        <v>21</v>
      </c>
      <c r="L44" s="8" t="n">
        <v>45667</v>
      </c>
    </row>
    <row r="45" customFormat="false" ht="15" hidden="false" customHeight="false" outlineLevel="0" collapsed="false">
      <c r="A45" s="2" t="s">
        <v>106</v>
      </c>
      <c r="B45" s="3" t="s">
        <v>83</v>
      </c>
      <c r="C45" s="2" t="s">
        <v>29</v>
      </c>
      <c r="D45" s="2" t="s">
        <v>38</v>
      </c>
      <c r="E45" s="4" t="n">
        <v>57800000</v>
      </c>
      <c r="F45" s="5" t="n">
        <v>0.1534</v>
      </c>
      <c r="G45" s="6" t="n">
        <f aca="false">E45*(1+F45)</f>
        <v>66666520</v>
      </c>
      <c r="H45" s="5" t="n">
        <v>0.1465</v>
      </c>
      <c r="I45" s="6" t="n">
        <f aca="false">E45*H45</f>
        <v>8467700</v>
      </c>
      <c r="J45" s="7" t="n">
        <v>31</v>
      </c>
      <c r="K45" s="2" t="s">
        <v>16</v>
      </c>
      <c r="L45" s="8" t="n">
        <v>45760</v>
      </c>
    </row>
    <row r="46" customFormat="false" ht="15" hidden="false" customHeight="false" outlineLevel="0" collapsed="false">
      <c r="A46" s="2" t="s">
        <v>107</v>
      </c>
      <c r="B46" s="3" t="s">
        <v>108</v>
      </c>
      <c r="C46" s="2" t="s">
        <v>29</v>
      </c>
      <c r="D46" s="2" t="s">
        <v>20</v>
      </c>
      <c r="E46" s="4" t="n">
        <v>34900000</v>
      </c>
      <c r="F46" s="5" t="n">
        <v>0.1782</v>
      </c>
      <c r="G46" s="6" t="n">
        <f aca="false">E46*(1+F46)</f>
        <v>41119180</v>
      </c>
      <c r="H46" s="5" t="n">
        <v>0.0205</v>
      </c>
      <c r="I46" s="6" t="n">
        <f aca="false">E46*H46</f>
        <v>715450</v>
      </c>
      <c r="J46" s="7" t="n">
        <v>36</v>
      </c>
      <c r="K46" s="2" t="s">
        <v>21</v>
      </c>
      <c r="L46" s="8" t="n">
        <v>45846</v>
      </c>
    </row>
    <row r="47" customFormat="false" ht="15" hidden="false" customHeight="false" outlineLevel="0" collapsed="false">
      <c r="A47" s="2" t="s">
        <v>109</v>
      </c>
      <c r="B47" s="3" t="s">
        <v>110</v>
      </c>
      <c r="C47" s="2" t="s">
        <v>19</v>
      </c>
      <c r="D47" s="2" t="s">
        <v>15</v>
      </c>
      <c r="E47" s="4" t="n">
        <v>34300000</v>
      </c>
      <c r="F47" s="5" t="n">
        <v>0.191</v>
      </c>
      <c r="G47" s="6" t="n">
        <f aca="false">E47*(1+F47)</f>
        <v>40851300</v>
      </c>
      <c r="H47" s="5" t="n">
        <v>0.0021</v>
      </c>
      <c r="I47" s="6" t="n">
        <f aca="false">E47*H47</f>
        <v>72030</v>
      </c>
      <c r="J47" s="7" t="n">
        <v>39</v>
      </c>
      <c r="K47" s="2" t="s">
        <v>21</v>
      </c>
      <c r="L47" s="8" t="n">
        <v>45817</v>
      </c>
    </row>
    <row r="48" customFormat="false" ht="15" hidden="false" customHeight="false" outlineLevel="0" collapsed="false">
      <c r="A48" s="2" t="s">
        <v>111</v>
      </c>
      <c r="B48" s="3" t="s">
        <v>112</v>
      </c>
      <c r="C48" s="2" t="s">
        <v>49</v>
      </c>
      <c r="D48" s="2" t="s">
        <v>15</v>
      </c>
      <c r="E48" s="4" t="n">
        <v>186200000</v>
      </c>
      <c r="F48" s="5" t="n">
        <v>0.1796</v>
      </c>
      <c r="G48" s="6" t="n">
        <f aca="false">E48*(1+F48)</f>
        <v>219641520</v>
      </c>
      <c r="H48" s="5" t="n">
        <v>0.0618</v>
      </c>
      <c r="I48" s="6" t="n">
        <f aca="false">E48*H48</f>
        <v>11507160</v>
      </c>
      <c r="J48" s="7" t="n">
        <v>37</v>
      </c>
      <c r="K48" s="2" t="s">
        <v>21</v>
      </c>
      <c r="L48" s="8" t="n">
        <v>46008</v>
      </c>
    </row>
    <row r="49" customFormat="false" ht="15" hidden="false" customHeight="false" outlineLevel="0" collapsed="false">
      <c r="A49" s="2" t="s">
        <v>113</v>
      </c>
      <c r="B49" s="3" t="s">
        <v>114</v>
      </c>
      <c r="C49" s="2" t="s">
        <v>49</v>
      </c>
      <c r="D49" s="2" t="s">
        <v>15</v>
      </c>
      <c r="E49" s="4" t="n">
        <v>5600000</v>
      </c>
      <c r="F49" s="5" t="n">
        <v>0.1766</v>
      </c>
      <c r="G49" s="6" t="n">
        <f aca="false">E49*(1+F49)</f>
        <v>6588960</v>
      </c>
      <c r="H49" s="5" t="n">
        <v>0.0518</v>
      </c>
      <c r="I49" s="6" t="n">
        <f aca="false">E49*H49</f>
        <v>290080</v>
      </c>
      <c r="J49" s="7" t="n">
        <v>41</v>
      </c>
      <c r="K49" s="2" t="s">
        <v>21</v>
      </c>
      <c r="L49" s="8" t="n">
        <v>45664</v>
      </c>
    </row>
    <row r="50" customFormat="false" ht="15" hidden="false" customHeight="false" outlineLevel="0" collapsed="false">
      <c r="A50" s="2" t="s">
        <v>115</v>
      </c>
      <c r="B50" s="3" t="s">
        <v>116</v>
      </c>
      <c r="C50" s="2" t="s">
        <v>29</v>
      </c>
      <c r="D50" s="2" t="s">
        <v>20</v>
      </c>
      <c r="E50" s="4" t="n">
        <v>42900000</v>
      </c>
      <c r="F50" s="5" t="n">
        <v>0.1854</v>
      </c>
      <c r="G50" s="6" t="n">
        <f aca="false">E50*(1+F50)</f>
        <v>50853660</v>
      </c>
      <c r="H50" s="5" t="n">
        <v>0.0417</v>
      </c>
      <c r="I50" s="6" t="n">
        <f aca="false">E50*H50</f>
        <v>1788930</v>
      </c>
      <c r="J50" s="7" t="n">
        <v>43</v>
      </c>
      <c r="K50" s="2" t="s">
        <v>21</v>
      </c>
      <c r="L50" s="8" t="n">
        <v>45991</v>
      </c>
    </row>
    <row r="51" customFormat="false" ht="15" hidden="false" customHeight="false" outlineLevel="0" collapsed="false">
      <c r="A51" s="2" t="s">
        <v>117</v>
      </c>
      <c r="B51" s="3" t="s">
        <v>118</v>
      </c>
      <c r="C51" s="2" t="s">
        <v>19</v>
      </c>
      <c r="D51" s="2" t="s">
        <v>15</v>
      </c>
      <c r="E51" s="4" t="n">
        <v>171200000</v>
      </c>
      <c r="F51" s="5" t="n">
        <v>0.1718</v>
      </c>
      <c r="G51" s="6" t="n">
        <f aca="false">E51*(1+F51)</f>
        <v>200612160</v>
      </c>
      <c r="H51" s="5" t="n">
        <v>0.0196</v>
      </c>
      <c r="I51" s="6" t="n">
        <f aca="false">E51*H51</f>
        <v>3355520</v>
      </c>
      <c r="J51" s="7" t="n">
        <v>38</v>
      </c>
      <c r="K51" s="2" t="s">
        <v>21</v>
      </c>
      <c r="L51" s="8" t="n">
        <v>45702</v>
      </c>
    </row>
    <row r="52" customFormat="false" ht="15" hidden="false" customHeight="false" outlineLevel="0" collapsed="false">
      <c r="A52" s="2" t="s">
        <v>119</v>
      </c>
      <c r="B52" s="3" t="s">
        <v>80</v>
      </c>
      <c r="C52" s="2" t="s">
        <v>19</v>
      </c>
      <c r="D52" s="2" t="s">
        <v>38</v>
      </c>
      <c r="E52" s="4" t="n">
        <v>7300000</v>
      </c>
      <c r="F52" s="5" t="n">
        <v>0.1834</v>
      </c>
      <c r="G52" s="6" t="n">
        <f aca="false">E52*(1+F52)</f>
        <v>8638820</v>
      </c>
      <c r="H52" s="5" t="n">
        <v>0.0681</v>
      </c>
      <c r="I52" s="6" t="n">
        <f aca="false">E52*H52</f>
        <v>497130</v>
      </c>
      <c r="J52" s="7" t="n">
        <v>40</v>
      </c>
      <c r="K52" s="2" t="s">
        <v>21</v>
      </c>
      <c r="L52" s="8" t="n">
        <v>45751</v>
      </c>
    </row>
    <row r="53" customFormat="false" ht="15" hidden="false" customHeight="false" outlineLevel="0" collapsed="false">
      <c r="A53" s="2" t="s">
        <v>120</v>
      </c>
      <c r="B53" s="3" t="s">
        <v>54</v>
      </c>
      <c r="C53" s="2" t="s">
        <v>49</v>
      </c>
      <c r="D53" s="2" t="s">
        <v>20</v>
      </c>
      <c r="E53" s="4" t="n">
        <v>24200000</v>
      </c>
      <c r="F53" s="5" t="n">
        <v>0.1851</v>
      </c>
      <c r="G53" s="6" t="n">
        <f aca="false">E53*(1+F53)</f>
        <v>28679420</v>
      </c>
      <c r="H53" s="5" t="n">
        <v>0.0413</v>
      </c>
      <c r="I53" s="6" t="n">
        <f aca="false">E53*H53</f>
        <v>999460</v>
      </c>
      <c r="J53" s="7" t="n">
        <v>38</v>
      </c>
      <c r="K53" s="2" t="s">
        <v>21</v>
      </c>
      <c r="L53" s="8" t="n">
        <v>45755</v>
      </c>
    </row>
    <row r="54" customFormat="false" ht="15" hidden="false" customHeight="false" outlineLevel="0" collapsed="false">
      <c r="A54" s="2" t="s">
        <v>121</v>
      </c>
      <c r="B54" s="3" t="s">
        <v>91</v>
      </c>
      <c r="C54" s="2" t="s">
        <v>19</v>
      </c>
      <c r="D54" s="2" t="s">
        <v>20</v>
      </c>
      <c r="E54" s="4" t="n">
        <v>38800000</v>
      </c>
      <c r="F54" s="5" t="n">
        <v>0.1823</v>
      </c>
      <c r="G54" s="6" t="n">
        <f aca="false">E54*(1+F54)</f>
        <v>45873240</v>
      </c>
      <c r="H54" s="5" t="n">
        <v>0.0014</v>
      </c>
      <c r="I54" s="6" t="n">
        <f aca="false">E54*H54</f>
        <v>54320</v>
      </c>
      <c r="J54" s="7" t="n">
        <v>45</v>
      </c>
      <c r="K54" s="2" t="s">
        <v>21</v>
      </c>
      <c r="L54" s="8" t="n">
        <v>45808</v>
      </c>
    </row>
    <row r="55" customFormat="false" ht="15" hidden="false" customHeight="false" outlineLevel="0" collapsed="false">
      <c r="A55" s="2" t="s">
        <v>122</v>
      </c>
      <c r="B55" s="3" t="s">
        <v>28</v>
      </c>
      <c r="C55" s="2" t="s">
        <v>19</v>
      </c>
      <c r="D55" s="2" t="s">
        <v>15</v>
      </c>
      <c r="E55" s="4" t="n">
        <v>153800000</v>
      </c>
      <c r="F55" s="5" t="n">
        <v>0.1777</v>
      </c>
      <c r="G55" s="6" t="n">
        <f aca="false">E55*(1+F55)</f>
        <v>181130260</v>
      </c>
      <c r="H55" s="5" t="n">
        <v>0.0597</v>
      </c>
      <c r="I55" s="6" t="n">
        <f aca="false">E55*H55</f>
        <v>9181860</v>
      </c>
      <c r="J55" s="7" t="n">
        <v>41</v>
      </c>
      <c r="K55" s="2" t="s">
        <v>21</v>
      </c>
      <c r="L55" s="8" t="n">
        <v>45827</v>
      </c>
    </row>
    <row r="56" customFormat="false" ht="15" hidden="false" customHeight="false" outlineLevel="0" collapsed="false">
      <c r="A56" s="2" t="s">
        <v>123</v>
      </c>
      <c r="B56" s="3" t="s">
        <v>124</v>
      </c>
      <c r="C56" s="2" t="s">
        <v>19</v>
      </c>
      <c r="D56" s="2" t="s">
        <v>20</v>
      </c>
      <c r="E56" s="4" t="n">
        <v>28100000</v>
      </c>
      <c r="F56" s="5" t="n">
        <v>0.1861</v>
      </c>
      <c r="G56" s="6" t="n">
        <f aca="false">E56*(1+F56)</f>
        <v>33329410</v>
      </c>
      <c r="H56" s="5" t="n">
        <v>0.0429</v>
      </c>
      <c r="I56" s="6" t="n">
        <f aca="false">E56*H56</f>
        <v>1205490</v>
      </c>
      <c r="J56" s="7" t="n">
        <v>40</v>
      </c>
      <c r="K56" s="2" t="s">
        <v>21</v>
      </c>
      <c r="L56" s="8" t="n">
        <v>46011</v>
      </c>
    </row>
    <row r="57" customFormat="false" ht="15" hidden="false" customHeight="false" outlineLevel="0" collapsed="false">
      <c r="A57" s="2" t="s">
        <v>125</v>
      </c>
      <c r="B57" s="3" t="s">
        <v>126</v>
      </c>
      <c r="C57" s="2" t="s">
        <v>19</v>
      </c>
      <c r="D57" s="2" t="s">
        <v>15</v>
      </c>
      <c r="E57" s="4" t="n">
        <v>82500000</v>
      </c>
      <c r="F57" s="5" t="n">
        <v>0.1916</v>
      </c>
      <c r="G57" s="6" t="n">
        <f aca="false">E57*(1+F57)</f>
        <v>98307000</v>
      </c>
      <c r="H57" s="5" t="n">
        <v>0.0144</v>
      </c>
      <c r="I57" s="6" t="n">
        <f aca="false">E57*H57</f>
        <v>1188000</v>
      </c>
      <c r="J57" s="7" t="n">
        <v>39</v>
      </c>
      <c r="K57" s="2" t="s">
        <v>21</v>
      </c>
      <c r="L57" s="8" t="n">
        <v>45665</v>
      </c>
    </row>
    <row r="58" customFormat="false" ht="15" hidden="false" customHeight="false" outlineLevel="0" collapsed="false">
      <c r="A58" s="2" t="s">
        <v>127</v>
      </c>
      <c r="B58" s="3" t="s">
        <v>128</v>
      </c>
      <c r="C58" s="2" t="s">
        <v>29</v>
      </c>
      <c r="D58" s="2" t="s">
        <v>15</v>
      </c>
      <c r="E58" s="4" t="n">
        <v>69000000</v>
      </c>
      <c r="F58" s="5" t="n">
        <v>0.1646</v>
      </c>
      <c r="G58" s="6" t="n">
        <f aca="false">E58*(1+F58)</f>
        <v>80357400</v>
      </c>
      <c r="H58" s="5" t="n">
        <v>0.0602</v>
      </c>
      <c r="I58" s="6" t="n">
        <f aca="false">E58*H58</f>
        <v>4153800</v>
      </c>
      <c r="J58" s="7" t="n">
        <v>34</v>
      </c>
      <c r="K58" s="2" t="s">
        <v>21</v>
      </c>
      <c r="L58" s="8" t="n">
        <v>45710</v>
      </c>
    </row>
    <row r="59" customFormat="false" ht="15" hidden="false" customHeight="false" outlineLevel="0" collapsed="false">
      <c r="A59" s="2" t="s">
        <v>129</v>
      </c>
      <c r="B59" s="3" t="s">
        <v>130</v>
      </c>
      <c r="C59" s="2" t="s">
        <v>29</v>
      </c>
      <c r="D59" s="2" t="s">
        <v>15</v>
      </c>
      <c r="E59" s="4" t="n">
        <v>136100000</v>
      </c>
      <c r="F59" s="5" t="n">
        <v>0.1592</v>
      </c>
      <c r="G59" s="6" t="n">
        <f aca="false">E59*(1+F59)</f>
        <v>157767120</v>
      </c>
      <c r="H59" s="5" t="n">
        <v>0.0689</v>
      </c>
      <c r="I59" s="6" t="n">
        <f aca="false">E59*H59</f>
        <v>9377290</v>
      </c>
      <c r="J59" s="7" t="n">
        <v>31</v>
      </c>
      <c r="K59" s="2" t="s">
        <v>21</v>
      </c>
      <c r="L59" s="8" t="n">
        <v>45716</v>
      </c>
    </row>
    <row r="60" customFormat="false" ht="15" hidden="false" customHeight="false" outlineLevel="0" collapsed="false">
      <c r="A60" s="2" t="s">
        <v>131</v>
      </c>
      <c r="B60" s="3" t="s">
        <v>132</v>
      </c>
      <c r="C60" s="2" t="s">
        <v>29</v>
      </c>
      <c r="D60" s="2" t="s">
        <v>15</v>
      </c>
      <c r="E60" s="4" t="n">
        <v>110100000</v>
      </c>
      <c r="F60" s="5" t="n">
        <v>0.1575</v>
      </c>
      <c r="G60" s="6" t="n">
        <f aca="false">E60*(1+F60)</f>
        <v>127440750</v>
      </c>
      <c r="H60" s="5" t="n">
        <v>0.0199</v>
      </c>
      <c r="I60" s="6" t="n">
        <f aca="false">E60*H60</f>
        <v>2190990</v>
      </c>
      <c r="J60" s="7" t="n">
        <v>39</v>
      </c>
      <c r="K60" s="2" t="s">
        <v>21</v>
      </c>
      <c r="L60" s="8" t="n">
        <v>45943</v>
      </c>
    </row>
    <row r="61" customFormat="false" ht="15" hidden="false" customHeight="false" outlineLevel="0" collapsed="false">
      <c r="A61" s="2" t="s">
        <v>133</v>
      </c>
      <c r="B61" s="3" t="s">
        <v>134</v>
      </c>
      <c r="C61" s="2" t="s">
        <v>29</v>
      </c>
      <c r="D61" s="2" t="s">
        <v>38</v>
      </c>
      <c r="E61" s="4" t="n">
        <v>140900000</v>
      </c>
      <c r="F61" s="5" t="n">
        <v>0.1761</v>
      </c>
      <c r="G61" s="6" t="n">
        <f aca="false">E61*(1+F61)</f>
        <v>165712490</v>
      </c>
      <c r="H61" s="5" t="n">
        <v>0.1438</v>
      </c>
      <c r="I61" s="6" t="n">
        <f aca="false">E61*H61</f>
        <v>20261420</v>
      </c>
      <c r="J61" s="7" t="n">
        <v>44</v>
      </c>
      <c r="K61" s="2" t="s">
        <v>24</v>
      </c>
      <c r="L61" s="8" t="n">
        <v>45877</v>
      </c>
    </row>
    <row r="62" customFormat="false" ht="15" hidden="false" customHeight="false" outlineLevel="0" collapsed="false">
      <c r="A62" s="2" t="s">
        <v>135</v>
      </c>
      <c r="B62" s="3" t="s">
        <v>136</v>
      </c>
      <c r="C62" s="2" t="s">
        <v>19</v>
      </c>
      <c r="D62" s="2" t="s">
        <v>20</v>
      </c>
      <c r="E62" s="4" t="n">
        <v>143200000</v>
      </c>
      <c r="F62" s="5" t="n">
        <v>0.1813</v>
      </c>
      <c r="G62" s="6" t="n">
        <f aca="false">E62*(1+F62)</f>
        <v>169162160</v>
      </c>
      <c r="H62" s="5" t="n">
        <v>0.0126</v>
      </c>
      <c r="I62" s="6" t="n">
        <f aca="false">E62*H62</f>
        <v>1804320</v>
      </c>
      <c r="J62" s="7" t="n">
        <v>38</v>
      </c>
      <c r="K62" s="2" t="s">
        <v>21</v>
      </c>
      <c r="L62" s="8" t="n">
        <v>45746</v>
      </c>
    </row>
    <row r="63" customFormat="false" ht="15" hidden="false" customHeight="false" outlineLevel="0" collapsed="false">
      <c r="A63" s="2" t="s">
        <v>137</v>
      </c>
      <c r="B63" s="3" t="s">
        <v>105</v>
      </c>
      <c r="C63" s="2" t="s">
        <v>49</v>
      </c>
      <c r="D63" s="2" t="s">
        <v>15</v>
      </c>
      <c r="E63" s="4" t="n">
        <v>73500000</v>
      </c>
      <c r="F63" s="5" t="n">
        <v>0.1516</v>
      </c>
      <c r="G63" s="6" t="n">
        <f aca="false">E63*(1+F63)</f>
        <v>84642600</v>
      </c>
      <c r="H63" s="5" t="n">
        <v>0.1292</v>
      </c>
      <c r="I63" s="6" t="n">
        <f aca="false">E63*H63</f>
        <v>9496200</v>
      </c>
      <c r="J63" s="7" t="n">
        <v>39</v>
      </c>
      <c r="K63" s="2" t="s">
        <v>16</v>
      </c>
      <c r="L63" s="8" t="n">
        <v>45890</v>
      </c>
    </row>
    <row r="64" customFormat="false" ht="15" hidden="false" customHeight="false" outlineLevel="0" collapsed="false">
      <c r="A64" s="2" t="s">
        <v>138</v>
      </c>
      <c r="B64" s="3" t="s">
        <v>139</v>
      </c>
      <c r="C64" s="2" t="s">
        <v>19</v>
      </c>
      <c r="D64" s="2" t="s">
        <v>15</v>
      </c>
      <c r="E64" s="4" t="n">
        <v>85000000</v>
      </c>
      <c r="F64" s="5" t="n">
        <v>0.1557</v>
      </c>
      <c r="G64" s="6" t="n">
        <f aca="false">E64*(1+F64)</f>
        <v>98234500</v>
      </c>
      <c r="H64" s="5" t="n">
        <v>0.0727</v>
      </c>
      <c r="I64" s="6" t="n">
        <f aca="false">E64*H64</f>
        <v>6179500</v>
      </c>
      <c r="J64" s="7" t="n">
        <v>37</v>
      </c>
      <c r="K64" s="2" t="s">
        <v>21</v>
      </c>
      <c r="L64" s="8" t="n">
        <v>45730</v>
      </c>
    </row>
    <row r="65" customFormat="false" ht="15" hidden="false" customHeight="false" outlineLevel="0" collapsed="false">
      <c r="A65" s="2" t="s">
        <v>140</v>
      </c>
      <c r="B65" s="3" t="s">
        <v>116</v>
      </c>
      <c r="C65" s="2" t="s">
        <v>19</v>
      </c>
      <c r="D65" s="2" t="s">
        <v>20</v>
      </c>
      <c r="E65" s="4" t="n">
        <v>5800000</v>
      </c>
      <c r="F65" s="5" t="n">
        <v>0.1562</v>
      </c>
      <c r="G65" s="6" t="n">
        <f aca="false">E65*(1+F65)</f>
        <v>6705960</v>
      </c>
      <c r="H65" s="5" t="n">
        <v>0.146</v>
      </c>
      <c r="I65" s="6" t="n">
        <f aca="false">E65*H65</f>
        <v>846800</v>
      </c>
      <c r="J65" s="7" t="n">
        <v>39</v>
      </c>
      <c r="K65" s="2" t="s">
        <v>16</v>
      </c>
      <c r="L65" s="8" t="n">
        <v>45914</v>
      </c>
    </row>
    <row r="66" customFormat="false" ht="15" hidden="false" customHeight="false" outlineLevel="0" collapsed="false">
      <c r="A66" s="2" t="s">
        <v>141</v>
      </c>
      <c r="B66" s="3" t="s">
        <v>78</v>
      </c>
      <c r="C66" s="2" t="s">
        <v>49</v>
      </c>
      <c r="D66" s="2" t="s">
        <v>20</v>
      </c>
      <c r="E66" s="4" t="n">
        <v>115700000</v>
      </c>
      <c r="F66" s="5" t="n">
        <v>0.1802</v>
      </c>
      <c r="G66" s="6" t="n">
        <f aca="false">E66*(1+F66)</f>
        <v>136549140</v>
      </c>
      <c r="H66" s="5" t="n">
        <v>0.077</v>
      </c>
      <c r="I66" s="6" t="n">
        <f aca="false">E66*H66</f>
        <v>8908900</v>
      </c>
      <c r="J66" s="7" t="n">
        <v>30</v>
      </c>
      <c r="K66" s="2" t="s">
        <v>21</v>
      </c>
      <c r="L66" s="8" t="n">
        <v>45952</v>
      </c>
    </row>
    <row r="67" customFormat="false" ht="15" hidden="false" customHeight="false" outlineLevel="0" collapsed="false">
      <c r="A67" s="2" t="s">
        <v>142</v>
      </c>
      <c r="B67" s="3" t="s">
        <v>143</v>
      </c>
      <c r="C67" s="2" t="s">
        <v>49</v>
      </c>
      <c r="D67" s="2" t="s">
        <v>38</v>
      </c>
      <c r="E67" s="4" t="n">
        <v>5100000</v>
      </c>
      <c r="F67" s="5" t="n">
        <v>0.152</v>
      </c>
      <c r="G67" s="6" t="n">
        <f aca="false">E67*(1+F67)</f>
        <v>5875200</v>
      </c>
      <c r="H67" s="5" t="n">
        <v>0.0521</v>
      </c>
      <c r="I67" s="6" t="n">
        <f aca="false">E67*H67</f>
        <v>265710</v>
      </c>
      <c r="J67" s="7" t="n">
        <v>35</v>
      </c>
      <c r="K67" s="2" t="s">
        <v>21</v>
      </c>
      <c r="L67" s="8" t="n">
        <v>45800</v>
      </c>
    </row>
    <row r="68" customFormat="false" ht="15" hidden="false" customHeight="false" outlineLevel="0" collapsed="false">
      <c r="A68" s="2" t="s">
        <v>144</v>
      </c>
      <c r="B68" s="3" t="s">
        <v>145</v>
      </c>
      <c r="C68" s="2" t="s">
        <v>19</v>
      </c>
      <c r="D68" s="2" t="s">
        <v>20</v>
      </c>
      <c r="E68" s="4" t="n">
        <v>137800000</v>
      </c>
      <c r="F68" s="5" t="n">
        <v>0.1735</v>
      </c>
      <c r="G68" s="6" t="n">
        <f aca="false">E68*(1+F68)</f>
        <v>161708300</v>
      </c>
      <c r="H68" s="5" t="n">
        <v>0.0536</v>
      </c>
      <c r="I68" s="6" t="n">
        <f aca="false">E68*H68</f>
        <v>7386080</v>
      </c>
      <c r="J68" s="7" t="n">
        <v>43</v>
      </c>
      <c r="K68" s="2" t="s">
        <v>21</v>
      </c>
      <c r="L68" s="8" t="n">
        <v>45740</v>
      </c>
    </row>
    <row r="69" customFormat="false" ht="15" hidden="false" customHeight="false" outlineLevel="0" collapsed="false">
      <c r="A69" s="2" t="s">
        <v>146</v>
      </c>
      <c r="B69" s="3" t="s">
        <v>147</v>
      </c>
      <c r="C69" s="2" t="s">
        <v>19</v>
      </c>
      <c r="D69" s="2" t="s">
        <v>20</v>
      </c>
      <c r="E69" s="4" t="n">
        <v>37700000</v>
      </c>
      <c r="F69" s="5" t="n">
        <v>0.1518</v>
      </c>
      <c r="G69" s="6" t="n">
        <f aca="false">E69*(1+F69)</f>
        <v>43422860</v>
      </c>
      <c r="H69" s="5" t="n">
        <v>0.0259</v>
      </c>
      <c r="I69" s="6" t="n">
        <f aca="false">E69*H69</f>
        <v>976430</v>
      </c>
      <c r="J69" s="7" t="n">
        <v>32</v>
      </c>
      <c r="K69" s="2" t="s">
        <v>21</v>
      </c>
      <c r="L69" s="8" t="n">
        <v>45864</v>
      </c>
    </row>
    <row r="70" customFormat="false" ht="15" hidden="false" customHeight="false" outlineLevel="0" collapsed="false">
      <c r="A70" s="2" t="s">
        <v>148</v>
      </c>
      <c r="B70" s="3" t="s">
        <v>149</v>
      </c>
      <c r="C70" s="2" t="s">
        <v>29</v>
      </c>
      <c r="D70" s="2" t="s">
        <v>20</v>
      </c>
      <c r="E70" s="4" t="n">
        <v>9100000</v>
      </c>
      <c r="F70" s="5" t="n">
        <v>0.1527</v>
      </c>
      <c r="G70" s="6" t="n">
        <f aca="false">E70*(1+F70)</f>
        <v>10489570</v>
      </c>
      <c r="H70" s="5" t="n">
        <v>0.0399</v>
      </c>
      <c r="I70" s="6" t="n">
        <f aca="false">E70*H70</f>
        <v>363090</v>
      </c>
      <c r="J70" s="7" t="n">
        <v>41</v>
      </c>
      <c r="K70" s="2" t="s">
        <v>21</v>
      </c>
      <c r="L70" s="8" t="n">
        <v>45884</v>
      </c>
    </row>
    <row r="71" customFormat="false" ht="15" hidden="false" customHeight="false" outlineLevel="0" collapsed="false">
      <c r="A71" s="2" t="s">
        <v>150</v>
      </c>
      <c r="B71" s="3" t="s">
        <v>151</v>
      </c>
      <c r="C71" s="2" t="s">
        <v>29</v>
      </c>
      <c r="D71" s="2" t="s">
        <v>15</v>
      </c>
      <c r="E71" s="4" t="n">
        <v>18100000</v>
      </c>
      <c r="F71" s="5" t="n">
        <v>0.1514</v>
      </c>
      <c r="G71" s="6" t="n">
        <f aca="false">E71*(1+F71)</f>
        <v>20840340</v>
      </c>
      <c r="H71" s="5" t="n">
        <v>0.1018</v>
      </c>
      <c r="I71" s="6" t="n">
        <f aca="false">E71*H71</f>
        <v>1842580</v>
      </c>
      <c r="J71" s="7" t="n">
        <v>37</v>
      </c>
      <c r="K71" s="2" t="s">
        <v>16</v>
      </c>
      <c r="L71" s="8" t="n">
        <v>45665</v>
      </c>
    </row>
    <row r="72" customFormat="false" ht="15" hidden="false" customHeight="false" outlineLevel="0" collapsed="false">
      <c r="A72" s="2" t="s">
        <v>152</v>
      </c>
      <c r="B72" s="3" t="s">
        <v>153</v>
      </c>
      <c r="C72" s="2" t="s">
        <v>49</v>
      </c>
      <c r="D72" s="2" t="s">
        <v>38</v>
      </c>
      <c r="E72" s="4" t="n">
        <v>64000000</v>
      </c>
      <c r="F72" s="5" t="n">
        <v>0.1974</v>
      </c>
      <c r="G72" s="6" t="n">
        <f aca="false">E72*(1+F72)</f>
        <v>76633600</v>
      </c>
      <c r="H72" s="5" t="n">
        <v>0.0573</v>
      </c>
      <c r="I72" s="6" t="n">
        <f aca="false">E72*H72</f>
        <v>3667200</v>
      </c>
      <c r="J72" s="7" t="n">
        <v>34</v>
      </c>
      <c r="K72" s="2" t="s">
        <v>21</v>
      </c>
      <c r="L72" s="8" t="n">
        <v>45918</v>
      </c>
    </row>
    <row r="73" customFormat="false" ht="15" hidden="false" customHeight="false" outlineLevel="0" collapsed="false">
      <c r="A73" s="2" t="s">
        <v>154</v>
      </c>
      <c r="B73" s="3" t="s">
        <v>155</v>
      </c>
      <c r="C73" s="2" t="s">
        <v>29</v>
      </c>
      <c r="D73" s="2" t="s">
        <v>20</v>
      </c>
      <c r="E73" s="4" t="n">
        <v>26600000</v>
      </c>
      <c r="F73" s="5" t="n">
        <v>0.1728</v>
      </c>
      <c r="G73" s="6" t="n">
        <f aca="false">E73*(1+F73)</f>
        <v>31196480</v>
      </c>
      <c r="H73" s="5" t="n">
        <v>0.0737</v>
      </c>
      <c r="I73" s="6" t="n">
        <f aca="false">E73*H73</f>
        <v>1960420</v>
      </c>
      <c r="J73" s="7" t="n">
        <v>34</v>
      </c>
      <c r="K73" s="2" t="s">
        <v>21</v>
      </c>
      <c r="L73" s="8" t="n">
        <v>45918</v>
      </c>
    </row>
    <row r="74" customFormat="false" ht="15" hidden="false" customHeight="false" outlineLevel="0" collapsed="false">
      <c r="A74" s="2" t="s">
        <v>156</v>
      </c>
      <c r="B74" s="3" t="s">
        <v>157</v>
      </c>
      <c r="C74" s="2" t="s">
        <v>29</v>
      </c>
      <c r="D74" s="2" t="s">
        <v>15</v>
      </c>
      <c r="E74" s="4" t="n">
        <v>70500000</v>
      </c>
      <c r="F74" s="5" t="n">
        <v>0.1501</v>
      </c>
      <c r="G74" s="6" t="n">
        <f aca="false">E74*(1+F74)</f>
        <v>81082050</v>
      </c>
      <c r="H74" s="5" t="n">
        <v>0.1206</v>
      </c>
      <c r="I74" s="6" t="n">
        <f aca="false">E74*H74</f>
        <v>8502300</v>
      </c>
      <c r="J74" s="7" t="n">
        <v>39</v>
      </c>
      <c r="K74" s="2" t="s">
        <v>16</v>
      </c>
      <c r="L74" s="8" t="n">
        <v>45995</v>
      </c>
    </row>
    <row r="75" customFormat="false" ht="15" hidden="false" customHeight="false" outlineLevel="0" collapsed="false">
      <c r="A75" s="2" t="s">
        <v>158</v>
      </c>
      <c r="B75" s="3" t="s">
        <v>159</v>
      </c>
      <c r="C75" s="2" t="s">
        <v>49</v>
      </c>
      <c r="D75" s="2" t="s">
        <v>15</v>
      </c>
      <c r="E75" s="4" t="n">
        <v>72300000</v>
      </c>
      <c r="F75" s="5" t="n">
        <v>0.1776</v>
      </c>
      <c r="G75" s="6" t="n">
        <f aca="false">E75*(1+F75)</f>
        <v>85140480</v>
      </c>
      <c r="H75" s="5" t="n">
        <v>0.0257</v>
      </c>
      <c r="I75" s="6" t="n">
        <f aca="false">E75*H75</f>
        <v>1858110</v>
      </c>
      <c r="J75" s="7" t="n">
        <v>42</v>
      </c>
      <c r="K75" s="2" t="s">
        <v>21</v>
      </c>
      <c r="L75" s="8" t="n">
        <v>45754</v>
      </c>
    </row>
    <row r="76" customFormat="false" ht="15" hidden="false" customHeight="false" outlineLevel="0" collapsed="false">
      <c r="A76" s="2" t="s">
        <v>160</v>
      </c>
      <c r="B76" s="3" t="s">
        <v>161</v>
      </c>
      <c r="C76" s="2" t="s">
        <v>14</v>
      </c>
      <c r="D76" s="2" t="s">
        <v>15</v>
      </c>
      <c r="E76" s="4" t="n">
        <v>85800000</v>
      </c>
      <c r="F76" s="5" t="n">
        <v>0.1659</v>
      </c>
      <c r="G76" s="6" t="n">
        <f aca="false">E76*(1+F76)</f>
        <v>100034220</v>
      </c>
      <c r="H76" s="5" t="n">
        <v>0.1368</v>
      </c>
      <c r="I76" s="6" t="n">
        <f aca="false">E76*H76</f>
        <v>11737440</v>
      </c>
      <c r="J76" s="7" t="n">
        <v>45</v>
      </c>
      <c r="K76" s="2" t="s">
        <v>16</v>
      </c>
      <c r="L76" s="8" t="n">
        <v>45855</v>
      </c>
    </row>
    <row r="77" customFormat="false" ht="15" hidden="false" customHeight="false" outlineLevel="0" collapsed="false">
      <c r="A77" s="2" t="s">
        <v>162</v>
      </c>
      <c r="B77" s="3" t="s">
        <v>91</v>
      </c>
      <c r="C77" s="2" t="s">
        <v>14</v>
      </c>
      <c r="D77" s="2" t="s">
        <v>20</v>
      </c>
      <c r="E77" s="4" t="n">
        <v>9000000</v>
      </c>
      <c r="F77" s="5" t="n">
        <v>0.1982</v>
      </c>
      <c r="G77" s="6" t="n">
        <f aca="false">E77*(1+F77)</f>
        <v>10783800</v>
      </c>
      <c r="H77" s="5" t="n">
        <v>0.0472</v>
      </c>
      <c r="I77" s="6" t="n">
        <f aca="false">E77*H77</f>
        <v>424800</v>
      </c>
      <c r="J77" s="7" t="n">
        <v>34</v>
      </c>
      <c r="K77" s="2" t="s">
        <v>21</v>
      </c>
      <c r="L77" s="8" t="n">
        <v>45709</v>
      </c>
    </row>
    <row r="78" customFormat="false" ht="15" hidden="false" customHeight="false" outlineLevel="0" collapsed="false">
      <c r="A78" s="2" t="s">
        <v>163</v>
      </c>
      <c r="B78" s="3" t="s">
        <v>161</v>
      </c>
      <c r="C78" s="2" t="s">
        <v>29</v>
      </c>
      <c r="D78" s="2" t="s">
        <v>15</v>
      </c>
      <c r="E78" s="4" t="n">
        <v>27600000</v>
      </c>
      <c r="F78" s="5" t="n">
        <v>0.1861</v>
      </c>
      <c r="G78" s="6" t="n">
        <f aca="false">E78*(1+F78)</f>
        <v>32736360</v>
      </c>
      <c r="H78" s="5" t="n">
        <v>0.1479</v>
      </c>
      <c r="I78" s="6" t="n">
        <f aca="false">E78*H78</f>
        <v>4082040</v>
      </c>
      <c r="J78" s="7" t="n">
        <v>43</v>
      </c>
      <c r="K78" s="2" t="s">
        <v>16</v>
      </c>
      <c r="L78" s="8" t="n">
        <v>45696</v>
      </c>
    </row>
    <row r="79" customFormat="false" ht="15" hidden="false" customHeight="false" outlineLevel="0" collapsed="false">
      <c r="A79" s="2" t="s">
        <v>164</v>
      </c>
      <c r="B79" s="3" t="s">
        <v>165</v>
      </c>
      <c r="C79" s="2" t="s">
        <v>49</v>
      </c>
      <c r="D79" s="2" t="s">
        <v>15</v>
      </c>
      <c r="E79" s="4" t="n">
        <v>195400000</v>
      </c>
      <c r="F79" s="5" t="n">
        <v>0.154</v>
      </c>
      <c r="G79" s="6" t="n">
        <f aca="false">E79*(1+F79)</f>
        <v>225491600</v>
      </c>
      <c r="H79" s="5" t="n">
        <v>0.1402</v>
      </c>
      <c r="I79" s="6" t="n">
        <f aca="false">E79*H79</f>
        <v>27395080</v>
      </c>
      <c r="J79" s="7" t="n">
        <v>40</v>
      </c>
      <c r="K79" s="2" t="s">
        <v>16</v>
      </c>
      <c r="L79" s="8" t="n">
        <v>45852</v>
      </c>
    </row>
    <row r="80" customFormat="false" ht="15" hidden="false" customHeight="false" outlineLevel="0" collapsed="false">
      <c r="A80" s="2" t="s">
        <v>166</v>
      </c>
      <c r="B80" s="3" t="s">
        <v>167</v>
      </c>
      <c r="C80" s="2" t="s">
        <v>14</v>
      </c>
      <c r="D80" s="2" t="s">
        <v>38</v>
      </c>
      <c r="E80" s="4" t="n">
        <v>8100000</v>
      </c>
      <c r="F80" s="5" t="n">
        <v>0.1771</v>
      </c>
      <c r="G80" s="6" t="n">
        <f aca="false">E80*(1+F80)</f>
        <v>9534510</v>
      </c>
      <c r="H80" s="5" t="n">
        <v>0.0548</v>
      </c>
      <c r="I80" s="6" t="n">
        <f aca="false">E80*H80</f>
        <v>443880</v>
      </c>
      <c r="J80" s="7" t="n">
        <v>32</v>
      </c>
      <c r="K80" s="2" t="s">
        <v>21</v>
      </c>
      <c r="L80" s="8" t="n">
        <v>45805</v>
      </c>
    </row>
    <row r="81" customFormat="false" ht="15" hidden="false" customHeight="false" outlineLevel="0" collapsed="false">
      <c r="A81" s="2" t="s">
        <v>168</v>
      </c>
      <c r="B81" s="3" t="s">
        <v>169</v>
      </c>
      <c r="C81" s="2" t="s">
        <v>14</v>
      </c>
      <c r="D81" s="2" t="s">
        <v>20</v>
      </c>
      <c r="E81" s="4" t="n">
        <v>39900000</v>
      </c>
      <c r="F81" s="5" t="n">
        <v>0.1722</v>
      </c>
      <c r="G81" s="6" t="n">
        <f aca="false">E81*(1+F81)</f>
        <v>46770780</v>
      </c>
      <c r="H81" s="5" t="n">
        <v>0.1237</v>
      </c>
      <c r="I81" s="6" t="n">
        <f aca="false">E81*H81</f>
        <v>4935630</v>
      </c>
      <c r="J81" s="7" t="n">
        <v>39</v>
      </c>
      <c r="K81" s="2" t="s">
        <v>24</v>
      </c>
      <c r="L81" s="8" t="n">
        <v>45686</v>
      </c>
    </row>
    <row r="82" customFormat="false" ht="15" hidden="false" customHeight="false" outlineLevel="0" collapsed="false">
      <c r="A82" s="2" t="s">
        <v>170</v>
      </c>
      <c r="B82" s="3" t="s">
        <v>171</v>
      </c>
      <c r="C82" s="2" t="s">
        <v>19</v>
      </c>
      <c r="D82" s="2" t="s">
        <v>20</v>
      </c>
      <c r="E82" s="4" t="n">
        <v>25000000</v>
      </c>
      <c r="F82" s="5" t="n">
        <v>0.1841</v>
      </c>
      <c r="G82" s="6" t="n">
        <f aca="false">E82*(1+F82)</f>
        <v>29602500</v>
      </c>
      <c r="H82" s="5" t="n">
        <v>0.0063</v>
      </c>
      <c r="I82" s="6" t="n">
        <f aca="false">E82*H82</f>
        <v>157500</v>
      </c>
      <c r="J82" s="7" t="n">
        <v>35</v>
      </c>
      <c r="K82" s="2" t="s">
        <v>21</v>
      </c>
      <c r="L82" s="8" t="n">
        <v>45853</v>
      </c>
    </row>
    <row r="83" customFormat="false" ht="15" hidden="false" customHeight="false" outlineLevel="0" collapsed="false">
      <c r="A83" s="2" t="s">
        <v>172</v>
      </c>
      <c r="B83" s="3" t="s">
        <v>173</v>
      </c>
      <c r="C83" s="2" t="s">
        <v>49</v>
      </c>
      <c r="D83" s="2" t="s">
        <v>38</v>
      </c>
      <c r="E83" s="4" t="n">
        <v>6200000</v>
      </c>
      <c r="F83" s="5" t="n">
        <v>0.1731</v>
      </c>
      <c r="G83" s="6" t="n">
        <f aca="false">E83*(1+F83)</f>
        <v>7273220</v>
      </c>
      <c r="H83" s="5" t="n">
        <v>0.0533</v>
      </c>
      <c r="I83" s="6" t="n">
        <f aca="false">E83*H83</f>
        <v>330460</v>
      </c>
      <c r="J83" s="7" t="n">
        <v>38</v>
      </c>
      <c r="K83" s="2" t="s">
        <v>21</v>
      </c>
      <c r="L83" s="8" t="n">
        <v>45896</v>
      </c>
    </row>
    <row r="84" customFormat="false" ht="15" hidden="false" customHeight="false" outlineLevel="0" collapsed="false">
      <c r="A84" s="2" t="s">
        <v>174</v>
      </c>
      <c r="B84" s="3" t="s">
        <v>175</v>
      </c>
      <c r="C84" s="2" t="s">
        <v>14</v>
      </c>
      <c r="D84" s="2" t="s">
        <v>20</v>
      </c>
      <c r="E84" s="4" t="n">
        <v>37100000</v>
      </c>
      <c r="F84" s="5" t="n">
        <v>0.1994</v>
      </c>
      <c r="G84" s="6" t="n">
        <f aca="false">E84*(1+F84)</f>
        <v>44497740</v>
      </c>
      <c r="H84" s="5" t="n">
        <v>0.0339</v>
      </c>
      <c r="I84" s="6" t="n">
        <f aca="false">E84*H84</f>
        <v>1257690</v>
      </c>
      <c r="J84" s="7" t="n">
        <v>39</v>
      </c>
      <c r="K84" s="2" t="s">
        <v>21</v>
      </c>
      <c r="L84" s="8" t="n">
        <v>45786</v>
      </c>
    </row>
    <row r="85" customFormat="false" ht="15" hidden="false" customHeight="false" outlineLevel="0" collapsed="false">
      <c r="A85" s="2" t="s">
        <v>176</v>
      </c>
      <c r="B85" s="3" t="s">
        <v>177</v>
      </c>
      <c r="C85" s="2" t="s">
        <v>49</v>
      </c>
      <c r="D85" s="2" t="s">
        <v>38</v>
      </c>
      <c r="E85" s="4" t="n">
        <v>22100000</v>
      </c>
      <c r="F85" s="5" t="n">
        <v>0.1619</v>
      </c>
      <c r="G85" s="6" t="n">
        <f aca="false">E85*(1+F85)</f>
        <v>25677990</v>
      </c>
      <c r="H85" s="5" t="n">
        <v>0.0794</v>
      </c>
      <c r="I85" s="6" t="n">
        <f aca="false">E85*H85</f>
        <v>1754740</v>
      </c>
      <c r="J85" s="7" t="n">
        <v>41</v>
      </c>
      <c r="K85" s="2" t="s">
        <v>21</v>
      </c>
      <c r="L85" s="8" t="n">
        <v>45809</v>
      </c>
    </row>
    <row r="86" customFormat="false" ht="15" hidden="false" customHeight="false" outlineLevel="0" collapsed="false">
      <c r="A86" s="2" t="s">
        <v>178</v>
      </c>
      <c r="B86" s="3" t="s">
        <v>179</v>
      </c>
      <c r="C86" s="2" t="s">
        <v>19</v>
      </c>
      <c r="D86" s="2" t="s">
        <v>20</v>
      </c>
      <c r="E86" s="4" t="n">
        <v>43200000</v>
      </c>
      <c r="F86" s="5" t="n">
        <v>0.1933</v>
      </c>
      <c r="G86" s="6" t="n">
        <f aca="false">E86*(1+F86)</f>
        <v>51550560</v>
      </c>
      <c r="H86" s="5" t="n">
        <v>0.1796</v>
      </c>
      <c r="I86" s="6" t="n">
        <f aca="false">E86*H86</f>
        <v>7758720</v>
      </c>
      <c r="J86" s="7" t="n">
        <v>31</v>
      </c>
      <c r="K86" s="2" t="s">
        <v>24</v>
      </c>
      <c r="L86" s="8" t="n">
        <v>45804</v>
      </c>
    </row>
    <row r="87" customFormat="false" ht="15" hidden="false" customHeight="false" outlineLevel="0" collapsed="false">
      <c r="A87" s="2" t="s">
        <v>180</v>
      </c>
      <c r="B87" s="3" t="s">
        <v>181</v>
      </c>
      <c r="C87" s="2" t="s">
        <v>29</v>
      </c>
      <c r="D87" s="2" t="s">
        <v>38</v>
      </c>
      <c r="E87" s="4" t="n">
        <v>19200000</v>
      </c>
      <c r="F87" s="5" t="n">
        <v>0.1625</v>
      </c>
      <c r="G87" s="6" t="n">
        <f aca="false">E87*(1+F87)</f>
        <v>22320000</v>
      </c>
      <c r="H87" s="5" t="n">
        <v>0.0723</v>
      </c>
      <c r="I87" s="6" t="n">
        <f aca="false">E87*H87</f>
        <v>1388160</v>
      </c>
      <c r="J87" s="7" t="n">
        <v>34</v>
      </c>
      <c r="K87" s="2" t="s">
        <v>21</v>
      </c>
      <c r="L87" s="8" t="n">
        <v>45988</v>
      </c>
    </row>
    <row r="88" customFormat="false" ht="15" hidden="false" customHeight="false" outlineLevel="0" collapsed="false">
      <c r="A88" s="2" t="s">
        <v>182</v>
      </c>
      <c r="B88" s="3" t="s">
        <v>183</v>
      </c>
      <c r="C88" s="2" t="s">
        <v>19</v>
      </c>
      <c r="D88" s="2" t="s">
        <v>20</v>
      </c>
      <c r="E88" s="4" t="n">
        <v>41500000</v>
      </c>
      <c r="F88" s="5" t="n">
        <v>0.1545</v>
      </c>
      <c r="G88" s="6" t="n">
        <f aca="false">E88*(1+F88)</f>
        <v>47911750</v>
      </c>
      <c r="H88" s="5" t="n">
        <v>0.0332</v>
      </c>
      <c r="I88" s="6" t="n">
        <f aca="false">E88*H88</f>
        <v>1377800</v>
      </c>
      <c r="J88" s="7" t="n">
        <v>39</v>
      </c>
      <c r="K88" s="2" t="s">
        <v>21</v>
      </c>
      <c r="L88" s="8" t="n">
        <v>45760</v>
      </c>
    </row>
    <row r="89" customFormat="false" ht="15" hidden="false" customHeight="false" outlineLevel="0" collapsed="false">
      <c r="A89" s="2" t="s">
        <v>184</v>
      </c>
      <c r="B89" s="3" t="s">
        <v>185</v>
      </c>
      <c r="C89" s="2" t="s">
        <v>19</v>
      </c>
      <c r="D89" s="2" t="s">
        <v>38</v>
      </c>
      <c r="E89" s="4" t="n">
        <v>130900000</v>
      </c>
      <c r="F89" s="5" t="n">
        <v>0.1957</v>
      </c>
      <c r="G89" s="6" t="n">
        <f aca="false">E89*(1+F89)</f>
        <v>156517130</v>
      </c>
      <c r="H89" s="5" t="n">
        <v>0.066</v>
      </c>
      <c r="I89" s="6" t="n">
        <f aca="false">E89*H89</f>
        <v>8639400</v>
      </c>
      <c r="J89" s="7" t="n">
        <v>35</v>
      </c>
      <c r="K89" s="2" t="s">
        <v>21</v>
      </c>
      <c r="L89" s="8" t="n">
        <v>45904</v>
      </c>
    </row>
    <row r="90" customFormat="false" ht="15" hidden="false" customHeight="false" outlineLevel="0" collapsed="false">
      <c r="A90" s="2" t="s">
        <v>186</v>
      </c>
      <c r="B90" s="3" t="s">
        <v>153</v>
      </c>
      <c r="C90" s="2" t="s">
        <v>14</v>
      </c>
      <c r="D90" s="2" t="s">
        <v>38</v>
      </c>
      <c r="E90" s="4" t="n">
        <v>21800000</v>
      </c>
      <c r="F90" s="5" t="n">
        <v>0.1981</v>
      </c>
      <c r="G90" s="6" t="n">
        <f aca="false">E90*(1+F90)</f>
        <v>26118580</v>
      </c>
      <c r="H90" s="5" t="n">
        <v>0.0958</v>
      </c>
      <c r="I90" s="6" t="n">
        <f aca="false">E90*H90</f>
        <v>2088440</v>
      </c>
      <c r="J90" s="7" t="n">
        <v>34</v>
      </c>
      <c r="K90" s="2" t="s">
        <v>16</v>
      </c>
      <c r="L90" s="8" t="n">
        <v>46004</v>
      </c>
    </row>
    <row r="91" customFormat="false" ht="15" hidden="false" customHeight="false" outlineLevel="0" collapsed="false">
      <c r="A91" s="2" t="s">
        <v>187</v>
      </c>
      <c r="B91" s="3" t="s">
        <v>188</v>
      </c>
      <c r="C91" s="2" t="s">
        <v>29</v>
      </c>
      <c r="D91" s="2" t="s">
        <v>38</v>
      </c>
      <c r="E91" s="4" t="n">
        <v>49200000</v>
      </c>
      <c r="F91" s="5" t="n">
        <v>0.1545</v>
      </c>
      <c r="G91" s="6" t="n">
        <f aca="false">E91*(1+F91)</f>
        <v>56801400</v>
      </c>
      <c r="H91" s="5" t="n">
        <v>0.0429</v>
      </c>
      <c r="I91" s="6" t="n">
        <f aca="false">E91*H91</f>
        <v>2110680</v>
      </c>
      <c r="J91" s="7" t="n">
        <v>42</v>
      </c>
      <c r="K91" s="2" t="s">
        <v>21</v>
      </c>
      <c r="L91" s="8" t="n">
        <v>45890</v>
      </c>
    </row>
    <row r="92" customFormat="false" ht="15" hidden="false" customHeight="false" outlineLevel="0" collapsed="false">
      <c r="A92" s="2" t="s">
        <v>189</v>
      </c>
      <c r="B92" s="3" t="s">
        <v>175</v>
      </c>
      <c r="C92" s="2" t="s">
        <v>19</v>
      </c>
      <c r="D92" s="2" t="s">
        <v>20</v>
      </c>
      <c r="E92" s="4" t="n">
        <v>8700000</v>
      </c>
      <c r="F92" s="5" t="n">
        <v>0.1554</v>
      </c>
      <c r="G92" s="6" t="n">
        <f aca="false">E92*(1+F92)</f>
        <v>10051980</v>
      </c>
      <c r="H92" s="5" t="n">
        <v>0.0496</v>
      </c>
      <c r="I92" s="6" t="n">
        <f aca="false">E92*H92</f>
        <v>431520</v>
      </c>
      <c r="J92" s="7" t="n">
        <v>37</v>
      </c>
      <c r="K92" s="2" t="s">
        <v>21</v>
      </c>
      <c r="L92" s="8" t="n">
        <v>45945</v>
      </c>
    </row>
    <row r="93" customFormat="false" ht="15" hidden="false" customHeight="false" outlineLevel="0" collapsed="false">
      <c r="A93" s="2" t="s">
        <v>190</v>
      </c>
      <c r="B93" s="3" t="s">
        <v>191</v>
      </c>
      <c r="C93" s="2" t="s">
        <v>19</v>
      </c>
      <c r="D93" s="2" t="s">
        <v>15</v>
      </c>
      <c r="E93" s="4" t="n">
        <v>34400000</v>
      </c>
      <c r="F93" s="5" t="n">
        <v>0.1704</v>
      </c>
      <c r="G93" s="6" t="n">
        <f aca="false">E93*(1+F93)</f>
        <v>40261760</v>
      </c>
      <c r="H93" s="5" t="n">
        <v>0.003</v>
      </c>
      <c r="I93" s="6" t="n">
        <f aca="false">E93*H93</f>
        <v>103200</v>
      </c>
      <c r="J93" s="7" t="n">
        <v>34</v>
      </c>
      <c r="K93" s="2" t="s">
        <v>21</v>
      </c>
      <c r="L93" s="8" t="n">
        <v>45910</v>
      </c>
    </row>
    <row r="94" customFormat="false" ht="15" hidden="false" customHeight="false" outlineLevel="0" collapsed="false">
      <c r="A94" s="2" t="s">
        <v>192</v>
      </c>
      <c r="B94" s="3" t="s">
        <v>193</v>
      </c>
      <c r="C94" s="2" t="s">
        <v>19</v>
      </c>
      <c r="D94" s="2" t="s">
        <v>15</v>
      </c>
      <c r="E94" s="4" t="n">
        <v>85200000</v>
      </c>
      <c r="F94" s="5" t="n">
        <v>0.1871</v>
      </c>
      <c r="G94" s="6" t="n">
        <f aca="false">E94*(1+F94)</f>
        <v>101140920</v>
      </c>
      <c r="H94" s="5" t="n">
        <v>0.1258</v>
      </c>
      <c r="I94" s="6" t="n">
        <f aca="false">E94*H94</f>
        <v>10718160</v>
      </c>
      <c r="J94" s="7" t="n">
        <v>34</v>
      </c>
      <c r="K94" s="2" t="s">
        <v>16</v>
      </c>
      <c r="L94" s="8" t="n">
        <v>45908</v>
      </c>
    </row>
    <row r="95" customFormat="false" ht="15" hidden="false" customHeight="false" outlineLevel="0" collapsed="false">
      <c r="A95" s="2" t="s">
        <v>194</v>
      </c>
      <c r="B95" s="3" t="s">
        <v>51</v>
      </c>
      <c r="C95" s="2" t="s">
        <v>49</v>
      </c>
      <c r="D95" s="2" t="s">
        <v>15</v>
      </c>
      <c r="E95" s="4" t="n">
        <v>190900000</v>
      </c>
      <c r="F95" s="5" t="n">
        <v>0.1722</v>
      </c>
      <c r="G95" s="6" t="n">
        <f aca="false">E95*(1+F95)</f>
        <v>223772980</v>
      </c>
      <c r="H95" s="5" t="n">
        <v>0.087</v>
      </c>
      <c r="I95" s="6" t="n">
        <f aca="false">E95*H95</f>
        <v>16608300</v>
      </c>
      <c r="J95" s="7" t="n">
        <v>37</v>
      </c>
      <c r="K95" s="2" t="s">
        <v>16</v>
      </c>
      <c r="L95" s="8" t="n">
        <v>46009</v>
      </c>
    </row>
    <row r="96" customFormat="false" ht="15" hidden="false" customHeight="false" outlineLevel="0" collapsed="false">
      <c r="A96" s="2" t="s">
        <v>195</v>
      </c>
      <c r="B96" s="3" t="s">
        <v>68</v>
      </c>
      <c r="C96" s="2" t="s">
        <v>19</v>
      </c>
      <c r="D96" s="2" t="s">
        <v>20</v>
      </c>
      <c r="E96" s="4" t="n">
        <v>185300000</v>
      </c>
      <c r="F96" s="5" t="n">
        <v>0.1638</v>
      </c>
      <c r="G96" s="6" t="n">
        <f aca="false">E96*(1+F96)</f>
        <v>215652140</v>
      </c>
      <c r="H96" s="5" t="n">
        <v>0.1859</v>
      </c>
      <c r="I96" s="6" t="n">
        <f aca="false">E96*H96</f>
        <v>34447270</v>
      </c>
      <c r="J96" s="7" t="n">
        <v>33</v>
      </c>
      <c r="K96" s="2" t="s">
        <v>24</v>
      </c>
      <c r="L96" s="8" t="n">
        <v>45704</v>
      </c>
    </row>
    <row r="97" customFormat="false" ht="15" hidden="false" customHeight="false" outlineLevel="0" collapsed="false">
      <c r="A97" s="2" t="s">
        <v>196</v>
      </c>
      <c r="B97" s="3" t="s">
        <v>40</v>
      </c>
      <c r="C97" s="2" t="s">
        <v>49</v>
      </c>
      <c r="D97" s="2" t="s">
        <v>15</v>
      </c>
      <c r="E97" s="4" t="n">
        <v>35700000</v>
      </c>
      <c r="F97" s="5" t="n">
        <v>0.1893</v>
      </c>
      <c r="G97" s="6" t="n">
        <f aca="false">E97*(1+F97)</f>
        <v>42458010</v>
      </c>
      <c r="H97" s="5" t="n">
        <v>0.183</v>
      </c>
      <c r="I97" s="6" t="n">
        <f aca="false">E97*H97</f>
        <v>6533100</v>
      </c>
      <c r="J97" s="7" t="n">
        <v>37</v>
      </c>
      <c r="K97" s="2" t="s">
        <v>24</v>
      </c>
      <c r="L97" s="8" t="n">
        <v>45763</v>
      </c>
    </row>
    <row r="98" customFormat="false" ht="15" hidden="false" customHeight="false" outlineLevel="0" collapsed="false">
      <c r="A98" s="2" t="s">
        <v>197</v>
      </c>
      <c r="B98" s="3" t="s">
        <v>198</v>
      </c>
      <c r="C98" s="2" t="s">
        <v>19</v>
      </c>
      <c r="D98" s="2" t="s">
        <v>20</v>
      </c>
      <c r="E98" s="4" t="n">
        <v>40600000</v>
      </c>
      <c r="F98" s="5" t="n">
        <v>0.1664</v>
      </c>
      <c r="G98" s="6" t="n">
        <f aca="false">E98*(1+F98)</f>
        <v>47355840</v>
      </c>
      <c r="H98" s="5" t="n">
        <v>0.1217</v>
      </c>
      <c r="I98" s="6" t="n">
        <f aca="false">E98*H98</f>
        <v>4941020</v>
      </c>
      <c r="J98" s="7" t="n">
        <v>34</v>
      </c>
      <c r="K98" s="2" t="s">
        <v>16</v>
      </c>
      <c r="L98" s="8" t="n">
        <v>45799</v>
      </c>
    </row>
    <row r="99" customFormat="false" ht="15" hidden="false" customHeight="false" outlineLevel="0" collapsed="false">
      <c r="A99" s="2" t="s">
        <v>199</v>
      </c>
      <c r="B99" s="3" t="s">
        <v>200</v>
      </c>
      <c r="C99" s="2" t="s">
        <v>29</v>
      </c>
      <c r="D99" s="2" t="s">
        <v>15</v>
      </c>
      <c r="E99" s="4" t="n">
        <v>71700000</v>
      </c>
      <c r="F99" s="5" t="n">
        <v>0.1587</v>
      </c>
      <c r="G99" s="6" t="n">
        <f aca="false">E99*(1+F99)</f>
        <v>83078790</v>
      </c>
      <c r="H99" s="5" t="n">
        <v>0.0287</v>
      </c>
      <c r="I99" s="6" t="n">
        <f aca="false">E99*H99</f>
        <v>2057790</v>
      </c>
      <c r="J99" s="7" t="n">
        <v>30</v>
      </c>
      <c r="K99" s="2" t="s">
        <v>21</v>
      </c>
      <c r="L99" s="8" t="n">
        <v>45779</v>
      </c>
    </row>
    <row r="100" customFormat="false" ht="15" hidden="false" customHeight="false" outlineLevel="0" collapsed="false">
      <c r="A100" s="2" t="s">
        <v>201</v>
      </c>
      <c r="B100" s="3" t="s">
        <v>202</v>
      </c>
      <c r="C100" s="2" t="s">
        <v>49</v>
      </c>
      <c r="D100" s="2" t="s">
        <v>20</v>
      </c>
      <c r="E100" s="4" t="n">
        <v>5100000</v>
      </c>
      <c r="F100" s="5" t="n">
        <v>0.1763</v>
      </c>
      <c r="G100" s="6" t="n">
        <f aca="false">E100*(1+F100)</f>
        <v>5999130</v>
      </c>
      <c r="H100" s="5" t="n">
        <v>0.0622</v>
      </c>
      <c r="I100" s="6" t="n">
        <f aca="false">E100*H100</f>
        <v>317220</v>
      </c>
      <c r="J100" s="7" t="n">
        <v>32</v>
      </c>
      <c r="K100" s="2" t="s">
        <v>21</v>
      </c>
      <c r="L100" s="8" t="n">
        <v>45920</v>
      </c>
    </row>
    <row r="101" customFormat="false" ht="15" hidden="false" customHeight="false" outlineLevel="0" collapsed="false">
      <c r="A101" s="2" t="s">
        <v>203</v>
      </c>
      <c r="B101" s="3" t="s">
        <v>56</v>
      </c>
      <c r="C101" s="2" t="s">
        <v>49</v>
      </c>
      <c r="D101" s="2" t="s">
        <v>15</v>
      </c>
      <c r="E101" s="4" t="n">
        <v>117800000</v>
      </c>
      <c r="F101" s="5" t="n">
        <v>0.1892</v>
      </c>
      <c r="G101" s="6" t="n">
        <f aca="false">E101*(1+F101)</f>
        <v>140087760</v>
      </c>
      <c r="H101" s="5" t="n">
        <v>0.0771</v>
      </c>
      <c r="I101" s="6" t="n">
        <f aca="false">E101*H101</f>
        <v>9082380</v>
      </c>
      <c r="J101" s="7" t="n">
        <v>39</v>
      </c>
      <c r="K101" s="2" t="s">
        <v>21</v>
      </c>
      <c r="L101" s="8" t="n">
        <v>45689</v>
      </c>
    </row>
    <row r="102" customFormat="false" ht="15" hidden="false" customHeight="false" outlineLevel="0" collapsed="false">
      <c r="A102" s="2" t="s">
        <v>204</v>
      </c>
      <c r="B102" s="3" t="s">
        <v>205</v>
      </c>
      <c r="C102" s="2" t="s">
        <v>14</v>
      </c>
      <c r="D102" s="2" t="s">
        <v>20</v>
      </c>
      <c r="E102" s="4" t="n">
        <v>43900000</v>
      </c>
      <c r="F102" s="5" t="n">
        <v>0.1856</v>
      </c>
      <c r="G102" s="6" t="n">
        <f aca="false">E102*(1+F102)</f>
        <v>52047840</v>
      </c>
      <c r="H102" s="5" t="n">
        <v>0.0065</v>
      </c>
      <c r="I102" s="6" t="n">
        <f aca="false">E102*H102</f>
        <v>285350</v>
      </c>
      <c r="J102" s="7" t="n">
        <v>44</v>
      </c>
      <c r="K102" s="2" t="s">
        <v>21</v>
      </c>
      <c r="L102" s="8" t="n">
        <v>45969</v>
      </c>
    </row>
    <row r="103" customFormat="false" ht="15" hidden="false" customHeight="false" outlineLevel="0" collapsed="false">
      <c r="A103" s="2" t="s">
        <v>206</v>
      </c>
      <c r="B103" s="3" t="s">
        <v>207</v>
      </c>
      <c r="C103" s="2" t="s">
        <v>19</v>
      </c>
      <c r="D103" s="2" t="s">
        <v>20</v>
      </c>
      <c r="E103" s="4" t="n">
        <v>68900000</v>
      </c>
      <c r="F103" s="5" t="n">
        <v>0.1997</v>
      </c>
      <c r="G103" s="6" t="n">
        <f aca="false">E103*(1+F103)</f>
        <v>82659330</v>
      </c>
      <c r="H103" s="5" t="n">
        <v>0.0484</v>
      </c>
      <c r="I103" s="6" t="n">
        <f aca="false">E103*H103</f>
        <v>3334760</v>
      </c>
      <c r="J103" s="7" t="n">
        <v>39</v>
      </c>
      <c r="K103" s="2" t="s">
        <v>21</v>
      </c>
      <c r="L103" s="8" t="n">
        <v>45708</v>
      </c>
    </row>
    <row r="104" customFormat="false" ht="15" hidden="false" customHeight="false" outlineLevel="0" collapsed="false">
      <c r="A104" s="2" t="s">
        <v>208</v>
      </c>
      <c r="B104" s="3" t="s">
        <v>202</v>
      </c>
      <c r="C104" s="2" t="s">
        <v>29</v>
      </c>
      <c r="D104" s="2" t="s">
        <v>20</v>
      </c>
      <c r="E104" s="4" t="n">
        <v>67200000</v>
      </c>
      <c r="F104" s="5" t="n">
        <v>0.1726</v>
      </c>
      <c r="G104" s="6" t="n">
        <f aca="false">E104*(1+F104)</f>
        <v>78798720</v>
      </c>
      <c r="H104" s="5" t="n">
        <v>0.0662</v>
      </c>
      <c r="I104" s="6" t="n">
        <f aca="false">E104*H104</f>
        <v>4448640</v>
      </c>
      <c r="J104" s="7" t="n">
        <v>37</v>
      </c>
      <c r="K104" s="2" t="s">
        <v>21</v>
      </c>
      <c r="L104" s="8" t="n">
        <v>45862</v>
      </c>
    </row>
    <row r="105" customFormat="false" ht="15" hidden="false" customHeight="false" outlineLevel="0" collapsed="false">
      <c r="A105" s="2" t="s">
        <v>209</v>
      </c>
      <c r="B105" s="3" t="s">
        <v>210</v>
      </c>
      <c r="C105" s="2" t="s">
        <v>49</v>
      </c>
      <c r="D105" s="2" t="s">
        <v>15</v>
      </c>
      <c r="E105" s="4" t="n">
        <v>64300000</v>
      </c>
      <c r="F105" s="5" t="n">
        <v>0.1961</v>
      </c>
      <c r="G105" s="6" t="n">
        <f aca="false">E105*(1+F105)</f>
        <v>76909230</v>
      </c>
      <c r="H105" s="5" t="n">
        <v>0.0068</v>
      </c>
      <c r="I105" s="6" t="n">
        <f aca="false">E105*H105</f>
        <v>437240</v>
      </c>
      <c r="J105" s="7" t="n">
        <v>32</v>
      </c>
      <c r="K105" s="2" t="s">
        <v>21</v>
      </c>
      <c r="L105" s="8" t="n">
        <v>45879</v>
      </c>
    </row>
    <row r="106" customFormat="false" ht="15" hidden="false" customHeight="false" outlineLevel="0" collapsed="false">
      <c r="A106" s="2" t="s">
        <v>211</v>
      </c>
      <c r="B106" s="3" t="s">
        <v>212</v>
      </c>
      <c r="C106" s="2" t="s">
        <v>19</v>
      </c>
      <c r="D106" s="2" t="s">
        <v>38</v>
      </c>
      <c r="E106" s="4" t="n">
        <v>39600000</v>
      </c>
      <c r="F106" s="5" t="n">
        <v>0.1793</v>
      </c>
      <c r="G106" s="6" t="n">
        <f aca="false">E106*(1+F106)</f>
        <v>46700280</v>
      </c>
      <c r="H106" s="5" t="n">
        <v>0.0329</v>
      </c>
      <c r="I106" s="6" t="n">
        <f aca="false">E106*H106</f>
        <v>1302840</v>
      </c>
      <c r="J106" s="7" t="n">
        <v>40</v>
      </c>
      <c r="K106" s="2" t="s">
        <v>21</v>
      </c>
      <c r="L106" s="8" t="n">
        <v>45998</v>
      </c>
    </row>
    <row r="107" customFormat="false" ht="15" hidden="false" customHeight="false" outlineLevel="0" collapsed="false">
      <c r="A107" s="2" t="s">
        <v>213</v>
      </c>
      <c r="B107" s="3" t="s">
        <v>214</v>
      </c>
      <c r="C107" s="2" t="s">
        <v>14</v>
      </c>
      <c r="D107" s="2" t="s">
        <v>38</v>
      </c>
      <c r="E107" s="4" t="n">
        <v>113400000</v>
      </c>
      <c r="F107" s="5" t="n">
        <v>0.18</v>
      </c>
      <c r="G107" s="6" t="n">
        <f aca="false">E107*(1+F107)</f>
        <v>133812000</v>
      </c>
      <c r="H107" s="5" t="n">
        <v>0.0406</v>
      </c>
      <c r="I107" s="6" t="n">
        <f aca="false">E107*H107</f>
        <v>4604040</v>
      </c>
      <c r="J107" s="7" t="n">
        <v>41</v>
      </c>
      <c r="K107" s="2" t="s">
        <v>21</v>
      </c>
      <c r="L107" s="8" t="n">
        <v>45737</v>
      </c>
    </row>
    <row r="108" customFormat="false" ht="15" hidden="false" customHeight="false" outlineLevel="0" collapsed="false">
      <c r="A108" s="2" t="s">
        <v>215</v>
      </c>
      <c r="B108" s="3" t="s">
        <v>216</v>
      </c>
      <c r="C108" s="2" t="s">
        <v>49</v>
      </c>
      <c r="D108" s="2" t="s">
        <v>20</v>
      </c>
      <c r="E108" s="4" t="n">
        <v>6100000</v>
      </c>
      <c r="F108" s="5" t="n">
        <v>0.1881</v>
      </c>
      <c r="G108" s="6" t="n">
        <f aca="false">E108*(1+F108)</f>
        <v>7247410</v>
      </c>
      <c r="H108" s="5" t="n">
        <v>0.1392</v>
      </c>
      <c r="I108" s="6" t="n">
        <f aca="false">E108*H108</f>
        <v>849120</v>
      </c>
      <c r="J108" s="7" t="n">
        <v>37</v>
      </c>
      <c r="K108" s="2" t="s">
        <v>16</v>
      </c>
      <c r="L108" s="8" t="n">
        <v>45976</v>
      </c>
    </row>
    <row r="109" customFormat="false" ht="15" hidden="false" customHeight="false" outlineLevel="0" collapsed="false">
      <c r="A109" s="2" t="s">
        <v>217</v>
      </c>
      <c r="B109" s="3" t="s">
        <v>218</v>
      </c>
      <c r="C109" s="2" t="s">
        <v>49</v>
      </c>
      <c r="D109" s="2" t="s">
        <v>15</v>
      </c>
      <c r="E109" s="4" t="n">
        <v>146400000</v>
      </c>
      <c r="F109" s="5" t="n">
        <v>0.159</v>
      </c>
      <c r="G109" s="6" t="n">
        <f aca="false">E109*(1+F109)</f>
        <v>169677600</v>
      </c>
      <c r="H109" s="5" t="n">
        <v>0.1481</v>
      </c>
      <c r="I109" s="6" t="n">
        <f aca="false">E109*H109</f>
        <v>21681840</v>
      </c>
      <c r="J109" s="7" t="n">
        <v>39</v>
      </c>
      <c r="K109" s="2" t="s">
        <v>24</v>
      </c>
      <c r="L109" s="8" t="n">
        <v>45750</v>
      </c>
    </row>
    <row r="110" customFormat="false" ht="15" hidden="false" customHeight="false" outlineLevel="0" collapsed="false">
      <c r="A110" s="2" t="s">
        <v>219</v>
      </c>
      <c r="B110" s="3" t="s">
        <v>220</v>
      </c>
      <c r="C110" s="2" t="s">
        <v>29</v>
      </c>
      <c r="D110" s="2" t="s">
        <v>20</v>
      </c>
      <c r="E110" s="4" t="n">
        <v>32700000</v>
      </c>
      <c r="F110" s="5" t="n">
        <v>0.1546</v>
      </c>
      <c r="G110" s="6" t="n">
        <f aca="false">E110*(1+F110)</f>
        <v>37755420</v>
      </c>
      <c r="H110" s="5" t="n">
        <v>0.0363</v>
      </c>
      <c r="I110" s="6" t="n">
        <f aca="false">E110*H110</f>
        <v>1187010</v>
      </c>
      <c r="J110" s="7" t="n">
        <v>36</v>
      </c>
      <c r="K110" s="2" t="s">
        <v>21</v>
      </c>
      <c r="L110" s="8" t="n">
        <v>45738</v>
      </c>
    </row>
    <row r="111" customFormat="false" ht="15" hidden="false" customHeight="false" outlineLevel="0" collapsed="false">
      <c r="A111" s="2" t="s">
        <v>221</v>
      </c>
      <c r="B111" s="3" t="s">
        <v>222</v>
      </c>
      <c r="C111" s="2" t="s">
        <v>19</v>
      </c>
      <c r="D111" s="2" t="s">
        <v>38</v>
      </c>
      <c r="E111" s="4" t="n">
        <v>158200000</v>
      </c>
      <c r="F111" s="5" t="n">
        <v>0.1578</v>
      </c>
      <c r="G111" s="6" t="n">
        <f aca="false">E111*(1+F111)</f>
        <v>183163960</v>
      </c>
      <c r="H111" s="5" t="n">
        <v>0.0218</v>
      </c>
      <c r="I111" s="6" t="n">
        <f aca="false">E111*H111</f>
        <v>3448760</v>
      </c>
      <c r="J111" s="7" t="n">
        <v>31</v>
      </c>
      <c r="K111" s="2" t="s">
        <v>21</v>
      </c>
      <c r="L111" s="8" t="n">
        <v>45996</v>
      </c>
    </row>
    <row r="112" customFormat="false" ht="15" hidden="false" customHeight="false" outlineLevel="0" collapsed="false">
      <c r="A112" s="2" t="s">
        <v>223</v>
      </c>
      <c r="B112" s="3" t="s">
        <v>224</v>
      </c>
      <c r="C112" s="2" t="s">
        <v>49</v>
      </c>
      <c r="D112" s="2" t="s">
        <v>20</v>
      </c>
      <c r="E112" s="4" t="n">
        <v>8000000</v>
      </c>
      <c r="F112" s="5" t="n">
        <v>0.1557</v>
      </c>
      <c r="G112" s="6" t="n">
        <f aca="false">E112*(1+F112)</f>
        <v>9245600</v>
      </c>
      <c r="H112" s="5" t="n">
        <v>0.0543</v>
      </c>
      <c r="I112" s="6" t="n">
        <f aca="false">E112*H112</f>
        <v>434400</v>
      </c>
      <c r="J112" s="7" t="n">
        <v>43</v>
      </c>
      <c r="K112" s="2" t="s">
        <v>21</v>
      </c>
      <c r="L112" s="8" t="n">
        <v>45961</v>
      </c>
    </row>
    <row r="113" customFormat="false" ht="15" hidden="false" customHeight="false" outlineLevel="0" collapsed="false">
      <c r="A113" s="2" t="s">
        <v>225</v>
      </c>
      <c r="B113" s="3" t="s">
        <v>193</v>
      </c>
      <c r="C113" s="2" t="s">
        <v>49</v>
      </c>
      <c r="D113" s="2" t="s">
        <v>15</v>
      </c>
      <c r="E113" s="4" t="n">
        <v>150100000</v>
      </c>
      <c r="F113" s="5" t="n">
        <v>0.1527</v>
      </c>
      <c r="G113" s="6" t="n">
        <f aca="false">E113*(1+F113)</f>
        <v>173020270</v>
      </c>
      <c r="H113" s="5" t="n">
        <v>0.0169</v>
      </c>
      <c r="I113" s="6" t="n">
        <f aca="false">E113*H113</f>
        <v>2536690</v>
      </c>
      <c r="J113" s="7" t="n">
        <v>36</v>
      </c>
      <c r="K113" s="2" t="s">
        <v>21</v>
      </c>
      <c r="L113" s="8" t="n">
        <v>45728</v>
      </c>
    </row>
    <row r="114" customFormat="false" ht="15" hidden="false" customHeight="false" outlineLevel="0" collapsed="false">
      <c r="A114" s="2" t="s">
        <v>226</v>
      </c>
      <c r="B114" s="3" t="s">
        <v>101</v>
      </c>
      <c r="C114" s="2" t="s">
        <v>29</v>
      </c>
      <c r="D114" s="2" t="s">
        <v>15</v>
      </c>
      <c r="E114" s="4" t="n">
        <v>93400000</v>
      </c>
      <c r="F114" s="5" t="n">
        <v>0.1715</v>
      </c>
      <c r="G114" s="6" t="n">
        <f aca="false">E114*(1+F114)</f>
        <v>109418100</v>
      </c>
      <c r="H114" s="5" t="n">
        <v>0.0563</v>
      </c>
      <c r="I114" s="6" t="n">
        <f aca="false">E114*H114</f>
        <v>5258420</v>
      </c>
      <c r="J114" s="7" t="n">
        <v>34</v>
      </c>
      <c r="K114" s="2" t="s">
        <v>21</v>
      </c>
      <c r="L114" s="8" t="n">
        <v>45914</v>
      </c>
    </row>
    <row r="115" customFormat="false" ht="15" hidden="false" customHeight="false" outlineLevel="0" collapsed="false">
      <c r="A115" s="2" t="s">
        <v>227</v>
      </c>
      <c r="B115" s="3" t="s">
        <v>228</v>
      </c>
      <c r="C115" s="2" t="s">
        <v>49</v>
      </c>
      <c r="D115" s="2" t="s">
        <v>15</v>
      </c>
      <c r="E115" s="4" t="n">
        <v>150200000</v>
      </c>
      <c r="F115" s="5" t="n">
        <v>0.1871</v>
      </c>
      <c r="G115" s="6" t="n">
        <f aca="false">E115*(1+F115)</f>
        <v>178302420</v>
      </c>
      <c r="H115" s="5" t="n">
        <v>0.0737</v>
      </c>
      <c r="I115" s="6" t="n">
        <f aca="false">E115*H115</f>
        <v>11069740</v>
      </c>
      <c r="J115" s="7" t="n">
        <v>43</v>
      </c>
      <c r="K115" s="2" t="s">
        <v>21</v>
      </c>
      <c r="L115" s="8" t="n">
        <v>45818</v>
      </c>
    </row>
    <row r="116" customFormat="false" ht="15" hidden="false" customHeight="false" outlineLevel="0" collapsed="false">
      <c r="A116" s="2" t="s">
        <v>229</v>
      </c>
      <c r="B116" s="3" t="s">
        <v>230</v>
      </c>
      <c r="C116" s="2" t="s">
        <v>49</v>
      </c>
      <c r="D116" s="2" t="s">
        <v>20</v>
      </c>
      <c r="E116" s="4" t="n">
        <v>136000000</v>
      </c>
      <c r="F116" s="5" t="n">
        <v>0.1558</v>
      </c>
      <c r="G116" s="6" t="n">
        <f aca="false">E116*(1+F116)</f>
        <v>157188800</v>
      </c>
      <c r="H116" s="5" t="n">
        <v>0.1337</v>
      </c>
      <c r="I116" s="6" t="n">
        <f aca="false">E116*H116</f>
        <v>18183200</v>
      </c>
      <c r="J116" s="7" t="n">
        <v>30</v>
      </c>
      <c r="K116" s="2" t="s">
        <v>24</v>
      </c>
      <c r="L116" s="8" t="n">
        <v>45893</v>
      </c>
    </row>
    <row r="117" customFormat="false" ht="15" hidden="false" customHeight="false" outlineLevel="0" collapsed="false">
      <c r="A117" s="2" t="s">
        <v>231</v>
      </c>
      <c r="B117" s="3" t="s">
        <v>232</v>
      </c>
      <c r="C117" s="2" t="s">
        <v>29</v>
      </c>
      <c r="D117" s="2" t="s">
        <v>15</v>
      </c>
      <c r="E117" s="4" t="n">
        <v>188000000</v>
      </c>
      <c r="F117" s="5" t="n">
        <v>0.1718</v>
      </c>
      <c r="G117" s="6" t="n">
        <f aca="false">E117*(1+F117)</f>
        <v>220298400</v>
      </c>
      <c r="H117" s="5" t="n">
        <v>0.0317</v>
      </c>
      <c r="I117" s="6" t="n">
        <f aca="false">E117*H117</f>
        <v>5959600</v>
      </c>
      <c r="J117" s="7" t="n">
        <v>42</v>
      </c>
      <c r="K117" s="2" t="s">
        <v>21</v>
      </c>
      <c r="L117" s="8" t="n">
        <v>45816</v>
      </c>
    </row>
    <row r="118" customFormat="false" ht="15" hidden="false" customHeight="false" outlineLevel="0" collapsed="false">
      <c r="A118" s="2" t="s">
        <v>233</v>
      </c>
      <c r="B118" s="3" t="s">
        <v>234</v>
      </c>
      <c r="C118" s="2" t="s">
        <v>29</v>
      </c>
      <c r="D118" s="2" t="s">
        <v>38</v>
      </c>
      <c r="E118" s="4" t="n">
        <v>6100000</v>
      </c>
      <c r="F118" s="5" t="n">
        <v>0.1817</v>
      </c>
      <c r="G118" s="6" t="n">
        <f aca="false">E118*(1+F118)</f>
        <v>7208370</v>
      </c>
      <c r="H118" s="5" t="n">
        <v>0.148</v>
      </c>
      <c r="I118" s="6" t="n">
        <f aca="false">E118*H118</f>
        <v>902800</v>
      </c>
      <c r="J118" s="7" t="n">
        <v>36</v>
      </c>
      <c r="K118" s="2" t="s">
        <v>24</v>
      </c>
      <c r="L118" s="8" t="n">
        <v>45733</v>
      </c>
    </row>
    <row r="119" customFormat="false" ht="15" hidden="false" customHeight="false" outlineLevel="0" collapsed="false">
      <c r="A119" s="2" t="s">
        <v>235</v>
      </c>
      <c r="B119" s="3" t="s">
        <v>236</v>
      </c>
      <c r="C119" s="2" t="s">
        <v>19</v>
      </c>
      <c r="D119" s="2" t="s">
        <v>20</v>
      </c>
      <c r="E119" s="4" t="n">
        <v>5700000</v>
      </c>
      <c r="F119" s="5" t="n">
        <v>0.1589</v>
      </c>
      <c r="G119" s="6" t="n">
        <f aca="false">E119*(1+F119)</f>
        <v>6605730</v>
      </c>
      <c r="H119" s="5" t="n">
        <v>0.0451</v>
      </c>
      <c r="I119" s="6" t="n">
        <f aca="false">E119*H119</f>
        <v>257070</v>
      </c>
      <c r="J119" s="7" t="n">
        <v>45</v>
      </c>
      <c r="K119" s="2" t="s">
        <v>21</v>
      </c>
      <c r="L119" s="8" t="n">
        <v>45954</v>
      </c>
    </row>
    <row r="120" customFormat="false" ht="15" hidden="false" customHeight="false" outlineLevel="0" collapsed="false">
      <c r="A120" s="2" t="s">
        <v>237</v>
      </c>
      <c r="B120" s="3" t="s">
        <v>238</v>
      </c>
      <c r="C120" s="2" t="s">
        <v>49</v>
      </c>
      <c r="D120" s="2" t="s">
        <v>20</v>
      </c>
      <c r="E120" s="4" t="n">
        <v>188600000</v>
      </c>
      <c r="F120" s="5" t="n">
        <v>0.1575</v>
      </c>
      <c r="G120" s="6" t="n">
        <f aca="false">E120*(1+F120)</f>
        <v>218304500</v>
      </c>
      <c r="H120" s="5" t="n">
        <v>0.0505</v>
      </c>
      <c r="I120" s="6" t="n">
        <f aca="false">E120*H120</f>
        <v>9524300</v>
      </c>
      <c r="J120" s="7" t="n">
        <v>32</v>
      </c>
      <c r="K120" s="2" t="s">
        <v>21</v>
      </c>
      <c r="L120" s="8" t="n">
        <v>45798</v>
      </c>
    </row>
    <row r="121" customFormat="false" ht="15" hidden="false" customHeight="false" outlineLevel="0" collapsed="false">
      <c r="A121" s="2" t="s">
        <v>239</v>
      </c>
      <c r="B121" s="3" t="s">
        <v>118</v>
      </c>
      <c r="C121" s="2" t="s">
        <v>49</v>
      </c>
      <c r="D121" s="2" t="s">
        <v>15</v>
      </c>
      <c r="E121" s="4" t="n">
        <v>102800000</v>
      </c>
      <c r="F121" s="5" t="n">
        <v>0.1519</v>
      </c>
      <c r="G121" s="6" t="n">
        <f aca="false">E121*(1+F121)</f>
        <v>118415320</v>
      </c>
      <c r="H121" s="5" t="n">
        <v>0.0854</v>
      </c>
      <c r="I121" s="6" t="n">
        <f aca="false">E121*H121</f>
        <v>8779120</v>
      </c>
      <c r="J121" s="7" t="n">
        <v>41</v>
      </c>
      <c r="K121" s="2" t="s">
        <v>16</v>
      </c>
      <c r="L121" s="8" t="n">
        <v>45704</v>
      </c>
    </row>
    <row r="122" customFormat="false" ht="15" hidden="false" customHeight="false" outlineLevel="0" collapsed="false">
      <c r="A122" s="2" t="s">
        <v>240</v>
      </c>
      <c r="B122" s="3" t="s">
        <v>241</v>
      </c>
      <c r="C122" s="2" t="s">
        <v>49</v>
      </c>
      <c r="D122" s="2" t="s">
        <v>20</v>
      </c>
      <c r="E122" s="4" t="n">
        <v>7500000</v>
      </c>
      <c r="F122" s="5" t="n">
        <v>0.1955</v>
      </c>
      <c r="G122" s="6" t="n">
        <f aca="false">E122*(1+F122)</f>
        <v>8966250</v>
      </c>
      <c r="H122" s="5" t="n">
        <v>0.0381</v>
      </c>
      <c r="I122" s="6" t="n">
        <f aca="false">E122*H122</f>
        <v>285750</v>
      </c>
      <c r="J122" s="7" t="n">
        <v>36</v>
      </c>
      <c r="K122" s="2" t="s">
        <v>21</v>
      </c>
      <c r="L122" s="8" t="n">
        <v>45735</v>
      </c>
    </row>
    <row r="123" customFormat="false" ht="15" hidden="false" customHeight="false" outlineLevel="0" collapsed="false">
      <c r="A123" s="2" t="s">
        <v>242</v>
      </c>
      <c r="B123" s="3" t="s">
        <v>243</v>
      </c>
      <c r="C123" s="2" t="s">
        <v>14</v>
      </c>
      <c r="D123" s="2" t="s">
        <v>38</v>
      </c>
      <c r="E123" s="4" t="n">
        <v>117600000</v>
      </c>
      <c r="F123" s="5" t="n">
        <v>0.1542</v>
      </c>
      <c r="G123" s="6" t="n">
        <f aca="false">E123*(1+F123)</f>
        <v>135733920</v>
      </c>
      <c r="H123" s="5" t="n">
        <v>0.0566</v>
      </c>
      <c r="I123" s="6" t="n">
        <f aca="false">E123*H123</f>
        <v>6656160</v>
      </c>
      <c r="J123" s="7" t="n">
        <v>35</v>
      </c>
      <c r="K123" s="2" t="s">
        <v>21</v>
      </c>
      <c r="L123" s="8" t="n">
        <v>45882</v>
      </c>
    </row>
    <row r="124" customFormat="false" ht="15" hidden="false" customHeight="false" outlineLevel="0" collapsed="false">
      <c r="A124" s="2" t="s">
        <v>244</v>
      </c>
      <c r="B124" s="3" t="s">
        <v>74</v>
      </c>
      <c r="C124" s="2" t="s">
        <v>49</v>
      </c>
      <c r="D124" s="2" t="s">
        <v>15</v>
      </c>
      <c r="E124" s="4" t="n">
        <v>141500000</v>
      </c>
      <c r="F124" s="5" t="n">
        <v>0.1704</v>
      </c>
      <c r="G124" s="6" t="n">
        <f aca="false">E124*(1+F124)</f>
        <v>165611600</v>
      </c>
      <c r="H124" s="5" t="n">
        <v>0.0042</v>
      </c>
      <c r="I124" s="6" t="n">
        <f aca="false">E124*H124</f>
        <v>594300</v>
      </c>
      <c r="J124" s="7" t="n">
        <v>40</v>
      </c>
      <c r="K124" s="2" t="s">
        <v>21</v>
      </c>
      <c r="L124" s="8" t="n">
        <v>45981</v>
      </c>
    </row>
    <row r="125" customFormat="false" ht="15" hidden="false" customHeight="false" outlineLevel="0" collapsed="false">
      <c r="A125" s="2" t="s">
        <v>245</v>
      </c>
      <c r="B125" s="3" t="s">
        <v>246</v>
      </c>
      <c r="C125" s="2" t="s">
        <v>49</v>
      </c>
      <c r="D125" s="2" t="s">
        <v>20</v>
      </c>
      <c r="E125" s="4" t="n">
        <v>12600000</v>
      </c>
      <c r="F125" s="5" t="n">
        <v>0.1541</v>
      </c>
      <c r="G125" s="6" t="n">
        <f aca="false">E125*(1+F125)</f>
        <v>14541660</v>
      </c>
      <c r="H125" s="5" t="n">
        <v>0.1448</v>
      </c>
      <c r="I125" s="6" t="n">
        <f aca="false">E125*H125</f>
        <v>1824480</v>
      </c>
      <c r="J125" s="7" t="n">
        <v>34</v>
      </c>
      <c r="K125" s="2" t="s">
        <v>24</v>
      </c>
      <c r="L125" s="8" t="n">
        <v>45858</v>
      </c>
    </row>
    <row r="126" customFormat="false" ht="15" hidden="false" customHeight="false" outlineLevel="0" collapsed="false">
      <c r="A126" s="2" t="s">
        <v>247</v>
      </c>
      <c r="B126" s="3" t="s">
        <v>165</v>
      </c>
      <c r="C126" s="2" t="s">
        <v>19</v>
      </c>
      <c r="D126" s="2" t="s">
        <v>15</v>
      </c>
      <c r="E126" s="4" t="n">
        <v>156300000</v>
      </c>
      <c r="F126" s="5" t="n">
        <v>0.1896</v>
      </c>
      <c r="G126" s="6" t="n">
        <f aca="false">E126*(1+F126)</f>
        <v>185934480</v>
      </c>
      <c r="H126" s="5" t="n">
        <v>0.0663</v>
      </c>
      <c r="I126" s="6" t="n">
        <f aca="false">E126*H126</f>
        <v>10362690</v>
      </c>
      <c r="J126" s="7" t="n">
        <v>34</v>
      </c>
      <c r="K126" s="2" t="s">
        <v>21</v>
      </c>
      <c r="L126" s="8" t="n">
        <v>46008</v>
      </c>
    </row>
    <row r="127" customFormat="false" ht="15" hidden="false" customHeight="false" outlineLevel="0" collapsed="false">
      <c r="A127" s="2" t="s">
        <v>248</v>
      </c>
      <c r="B127" s="3" t="s">
        <v>218</v>
      </c>
      <c r="C127" s="2" t="s">
        <v>14</v>
      </c>
      <c r="D127" s="2" t="s">
        <v>15</v>
      </c>
      <c r="E127" s="4" t="n">
        <v>13700000</v>
      </c>
      <c r="F127" s="5" t="n">
        <v>0.1681</v>
      </c>
      <c r="G127" s="6" t="n">
        <f aca="false">E127*(1+F127)</f>
        <v>16002970</v>
      </c>
      <c r="H127" s="5" t="n">
        <v>0.1473</v>
      </c>
      <c r="I127" s="6" t="n">
        <f aca="false">E127*H127</f>
        <v>2018010</v>
      </c>
      <c r="J127" s="7" t="n">
        <v>35</v>
      </c>
      <c r="K127" s="2" t="s">
        <v>24</v>
      </c>
      <c r="L127" s="8" t="n">
        <v>45906</v>
      </c>
    </row>
    <row r="128" customFormat="false" ht="15" hidden="false" customHeight="false" outlineLevel="0" collapsed="false">
      <c r="A128" s="2" t="s">
        <v>249</v>
      </c>
      <c r="B128" s="3" t="s">
        <v>216</v>
      </c>
      <c r="C128" s="2" t="s">
        <v>19</v>
      </c>
      <c r="D128" s="2" t="s">
        <v>20</v>
      </c>
      <c r="E128" s="4" t="n">
        <v>50000000</v>
      </c>
      <c r="F128" s="5" t="n">
        <v>0.1754</v>
      </c>
      <c r="G128" s="6" t="n">
        <f aca="false">E128*(1+F128)</f>
        <v>58770000</v>
      </c>
      <c r="H128" s="5" t="n">
        <v>0.0701</v>
      </c>
      <c r="I128" s="6" t="n">
        <f aca="false">E128*H128</f>
        <v>3505000</v>
      </c>
      <c r="J128" s="7" t="n">
        <v>31</v>
      </c>
      <c r="K128" s="2" t="s">
        <v>21</v>
      </c>
      <c r="L128" s="8" t="n">
        <v>45974</v>
      </c>
    </row>
    <row r="129" customFormat="false" ht="15" hidden="false" customHeight="false" outlineLevel="0" collapsed="false">
      <c r="A129" s="2" t="s">
        <v>250</v>
      </c>
      <c r="B129" s="3" t="s">
        <v>85</v>
      </c>
      <c r="C129" s="2" t="s">
        <v>19</v>
      </c>
      <c r="D129" s="2" t="s">
        <v>15</v>
      </c>
      <c r="E129" s="4" t="n">
        <v>106500000</v>
      </c>
      <c r="F129" s="5" t="n">
        <v>0.1719</v>
      </c>
      <c r="G129" s="6" t="n">
        <f aca="false">E129*(1+F129)</f>
        <v>124807350</v>
      </c>
      <c r="H129" s="5" t="n">
        <v>0.0576</v>
      </c>
      <c r="I129" s="6" t="n">
        <f aca="false">E129*H129</f>
        <v>6134400</v>
      </c>
      <c r="J129" s="7" t="n">
        <v>43</v>
      </c>
      <c r="K129" s="2" t="s">
        <v>21</v>
      </c>
      <c r="L129" s="8" t="n">
        <v>45885</v>
      </c>
    </row>
    <row r="130" customFormat="false" ht="15" hidden="false" customHeight="false" outlineLevel="0" collapsed="false">
      <c r="A130" s="2" t="s">
        <v>251</v>
      </c>
      <c r="B130" s="3" t="s">
        <v>252</v>
      </c>
      <c r="C130" s="2" t="s">
        <v>49</v>
      </c>
      <c r="D130" s="2" t="s">
        <v>38</v>
      </c>
      <c r="E130" s="4" t="n">
        <v>162900000</v>
      </c>
      <c r="F130" s="5" t="n">
        <v>0.162</v>
      </c>
      <c r="G130" s="6" t="n">
        <f aca="false">E130*(1+F130)</f>
        <v>189289800</v>
      </c>
      <c r="H130" s="5" t="n">
        <v>0.1355</v>
      </c>
      <c r="I130" s="6" t="n">
        <f aca="false">E130*H130</f>
        <v>22072950</v>
      </c>
      <c r="J130" s="7" t="n">
        <v>45</v>
      </c>
      <c r="K130" s="2" t="s">
        <v>24</v>
      </c>
      <c r="L130" s="8" t="n">
        <v>45883</v>
      </c>
    </row>
    <row r="131" customFormat="false" ht="15" hidden="false" customHeight="false" outlineLevel="0" collapsed="false">
      <c r="A131" s="2" t="s">
        <v>253</v>
      </c>
      <c r="B131" s="3" t="s">
        <v>254</v>
      </c>
      <c r="C131" s="2" t="s">
        <v>49</v>
      </c>
      <c r="D131" s="2" t="s">
        <v>20</v>
      </c>
      <c r="E131" s="4" t="n">
        <v>21300000</v>
      </c>
      <c r="F131" s="5" t="n">
        <v>0.1908</v>
      </c>
      <c r="G131" s="6" t="n">
        <f aca="false">E131*(1+F131)</f>
        <v>25364040</v>
      </c>
      <c r="H131" s="5" t="n">
        <v>0.0837</v>
      </c>
      <c r="I131" s="6" t="n">
        <f aca="false">E131*H131</f>
        <v>1782810</v>
      </c>
      <c r="J131" s="7" t="n">
        <v>34</v>
      </c>
      <c r="K131" s="2" t="s">
        <v>16</v>
      </c>
      <c r="L131" s="8" t="n">
        <v>45904</v>
      </c>
    </row>
    <row r="132" customFormat="false" ht="15" hidden="false" customHeight="false" outlineLevel="0" collapsed="false">
      <c r="A132" s="2" t="s">
        <v>255</v>
      </c>
      <c r="B132" s="3" t="s">
        <v>256</v>
      </c>
      <c r="C132" s="2" t="s">
        <v>29</v>
      </c>
      <c r="D132" s="2" t="s">
        <v>15</v>
      </c>
      <c r="E132" s="4" t="n">
        <v>133200000</v>
      </c>
      <c r="F132" s="5" t="n">
        <v>0.1542</v>
      </c>
      <c r="G132" s="6" t="n">
        <f aca="false">E132*(1+F132)</f>
        <v>153739440</v>
      </c>
      <c r="H132" s="5" t="n">
        <v>0.0724</v>
      </c>
      <c r="I132" s="6" t="n">
        <f aca="false">E132*H132</f>
        <v>9643680</v>
      </c>
      <c r="J132" s="7" t="n">
        <v>35</v>
      </c>
      <c r="K132" s="2" t="s">
        <v>21</v>
      </c>
      <c r="L132" s="8" t="n">
        <v>45733</v>
      </c>
    </row>
    <row r="133" customFormat="false" ht="15" hidden="false" customHeight="false" outlineLevel="0" collapsed="false">
      <c r="A133" s="2" t="s">
        <v>257</v>
      </c>
      <c r="B133" s="3" t="s">
        <v>258</v>
      </c>
      <c r="C133" s="2" t="s">
        <v>29</v>
      </c>
      <c r="D133" s="2" t="s">
        <v>38</v>
      </c>
      <c r="E133" s="4" t="n">
        <v>13700000</v>
      </c>
      <c r="F133" s="5" t="n">
        <v>0.1965</v>
      </c>
      <c r="G133" s="6" t="n">
        <f aca="false">E133*(1+F133)</f>
        <v>16392050</v>
      </c>
      <c r="H133" s="5" t="n">
        <v>0.0402</v>
      </c>
      <c r="I133" s="6" t="n">
        <f aca="false">E133*H133</f>
        <v>550740</v>
      </c>
      <c r="J133" s="7" t="n">
        <v>43</v>
      </c>
      <c r="K133" s="2" t="s">
        <v>21</v>
      </c>
      <c r="L133" s="8" t="n">
        <v>45778</v>
      </c>
    </row>
    <row r="134" customFormat="false" ht="15" hidden="false" customHeight="false" outlineLevel="0" collapsed="false">
      <c r="A134" s="2" t="s">
        <v>259</v>
      </c>
      <c r="B134" s="3" t="s">
        <v>260</v>
      </c>
      <c r="C134" s="2" t="s">
        <v>19</v>
      </c>
      <c r="D134" s="2" t="s">
        <v>15</v>
      </c>
      <c r="E134" s="4" t="n">
        <v>62200000</v>
      </c>
      <c r="F134" s="5" t="n">
        <v>0.155</v>
      </c>
      <c r="G134" s="6" t="n">
        <f aca="false">E134*(1+F134)</f>
        <v>71841000</v>
      </c>
      <c r="H134" s="5" t="n">
        <v>0.0896</v>
      </c>
      <c r="I134" s="6" t="n">
        <f aca="false">E134*H134</f>
        <v>5573120</v>
      </c>
      <c r="J134" s="7" t="n">
        <v>40</v>
      </c>
      <c r="K134" s="2" t="s">
        <v>16</v>
      </c>
      <c r="L134" s="8" t="n">
        <v>45804</v>
      </c>
    </row>
    <row r="135" customFormat="false" ht="15" hidden="false" customHeight="false" outlineLevel="0" collapsed="false">
      <c r="A135" s="2" t="s">
        <v>261</v>
      </c>
      <c r="B135" s="3" t="s">
        <v>262</v>
      </c>
      <c r="C135" s="2" t="s">
        <v>14</v>
      </c>
      <c r="D135" s="2" t="s">
        <v>38</v>
      </c>
      <c r="E135" s="4" t="n">
        <v>7400000</v>
      </c>
      <c r="F135" s="5" t="n">
        <v>0.1724</v>
      </c>
      <c r="G135" s="6" t="n">
        <f aca="false">E135*(1+F135)</f>
        <v>8675760</v>
      </c>
      <c r="H135" s="5" t="n">
        <v>0.1215</v>
      </c>
      <c r="I135" s="6" t="n">
        <f aca="false">E135*H135</f>
        <v>899100</v>
      </c>
      <c r="J135" s="7" t="n">
        <v>30</v>
      </c>
      <c r="K135" s="2" t="s">
        <v>24</v>
      </c>
      <c r="L135" s="8" t="n">
        <v>45768</v>
      </c>
    </row>
    <row r="136" customFormat="false" ht="15" hidden="false" customHeight="false" outlineLevel="0" collapsed="false">
      <c r="A136" s="2" t="s">
        <v>263</v>
      </c>
      <c r="B136" s="3" t="s">
        <v>93</v>
      </c>
      <c r="C136" s="2" t="s">
        <v>29</v>
      </c>
      <c r="D136" s="2" t="s">
        <v>20</v>
      </c>
      <c r="E136" s="4" t="n">
        <v>7700000</v>
      </c>
      <c r="F136" s="5" t="n">
        <v>0.1651</v>
      </c>
      <c r="G136" s="6" t="n">
        <f aca="false">E136*(1+F136)</f>
        <v>8971270</v>
      </c>
      <c r="H136" s="5" t="n">
        <v>0.0511</v>
      </c>
      <c r="I136" s="6" t="n">
        <f aca="false">E136*H136</f>
        <v>393470</v>
      </c>
      <c r="J136" s="7" t="n">
        <v>31</v>
      </c>
      <c r="K136" s="2" t="s">
        <v>21</v>
      </c>
      <c r="L136" s="8" t="n">
        <v>45976</v>
      </c>
    </row>
    <row r="137" customFormat="false" ht="15" hidden="false" customHeight="false" outlineLevel="0" collapsed="false">
      <c r="A137" s="2" t="s">
        <v>264</v>
      </c>
      <c r="B137" s="3" t="s">
        <v>62</v>
      </c>
      <c r="C137" s="2" t="s">
        <v>49</v>
      </c>
      <c r="D137" s="2" t="s">
        <v>38</v>
      </c>
      <c r="E137" s="4" t="n">
        <v>66600000</v>
      </c>
      <c r="F137" s="5" t="n">
        <v>0.1508</v>
      </c>
      <c r="G137" s="6" t="n">
        <f aca="false">E137*(1+F137)</f>
        <v>76643280</v>
      </c>
      <c r="H137" s="5" t="n">
        <v>0.1004</v>
      </c>
      <c r="I137" s="6" t="n">
        <f aca="false">E137*H137</f>
        <v>6686640</v>
      </c>
      <c r="J137" s="7" t="n">
        <v>37</v>
      </c>
      <c r="K137" s="2" t="s">
        <v>16</v>
      </c>
      <c r="L137" s="8" t="n">
        <v>45658</v>
      </c>
    </row>
    <row r="138" customFormat="false" ht="15" hidden="false" customHeight="false" outlineLevel="0" collapsed="false">
      <c r="A138" s="2" t="s">
        <v>265</v>
      </c>
      <c r="B138" s="3" t="s">
        <v>128</v>
      </c>
      <c r="C138" s="2" t="s">
        <v>49</v>
      </c>
      <c r="D138" s="2" t="s">
        <v>15</v>
      </c>
      <c r="E138" s="4" t="n">
        <v>86100000</v>
      </c>
      <c r="F138" s="5" t="n">
        <v>0.1987</v>
      </c>
      <c r="G138" s="6" t="n">
        <f aca="false">E138*(1+F138)</f>
        <v>103208070</v>
      </c>
      <c r="H138" s="5" t="n">
        <v>0.1635</v>
      </c>
      <c r="I138" s="6" t="n">
        <f aca="false">E138*H138</f>
        <v>14077350</v>
      </c>
      <c r="J138" s="7" t="n">
        <v>32</v>
      </c>
      <c r="K138" s="2" t="s">
        <v>24</v>
      </c>
      <c r="L138" s="8" t="n">
        <v>45917</v>
      </c>
    </row>
    <row r="139" customFormat="false" ht="15" hidden="false" customHeight="false" outlineLevel="0" collapsed="false">
      <c r="A139" s="2" t="s">
        <v>266</v>
      </c>
      <c r="B139" s="3" t="s">
        <v>130</v>
      </c>
      <c r="C139" s="2" t="s">
        <v>49</v>
      </c>
      <c r="D139" s="2" t="s">
        <v>15</v>
      </c>
      <c r="E139" s="4" t="n">
        <v>108600000</v>
      </c>
      <c r="F139" s="5" t="n">
        <v>0.1627</v>
      </c>
      <c r="G139" s="6" t="n">
        <f aca="false">E139*(1+F139)</f>
        <v>126269220</v>
      </c>
      <c r="H139" s="5" t="n">
        <v>0.0054</v>
      </c>
      <c r="I139" s="6" t="n">
        <f aca="false">E139*H139</f>
        <v>586440</v>
      </c>
      <c r="J139" s="7" t="n">
        <v>30</v>
      </c>
      <c r="K139" s="2" t="s">
        <v>21</v>
      </c>
      <c r="L139" s="8" t="n">
        <v>45781</v>
      </c>
    </row>
    <row r="140" customFormat="false" ht="15" hidden="false" customHeight="false" outlineLevel="0" collapsed="false">
      <c r="A140" s="2" t="s">
        <v>267</v>
      </c>
      <c r="B140" s="3" t="s">
        <v>268</v>
      </c>
      <c r="C140" s="2" t="s">
        <v>29</v>
      </c>
      <c r="D140" s="2" t="s">
        <v>38</v>
      </c>
      <c r="E140" s="4" t="n">
        <v>144200000</v>
      </c>
      <c r="F140" s="5" t="n">
        <v>0.1666</v>
      </c>
      <c r="G140" s="6" t="n">
        <f aca="false">E140*(1+F140)</f>
        <v>168223720</v>
      </c>
      <c r="H140" s="5" t="n">
        <v>0.0271</v>
      </c>
      <c r="I140" s="6" t="n">
        <f aca="false">E140*H140</f>
        <v>3907820</v>
      </c>
      <c r="J140" s="7" t="n">
        <v>31</v>
      </c>
      <c r="K140" s="2" t="s">
        <v>21</v>
      </c>
      <c r="L140" s="8" t="n">
        <v>45987</v>
      </c>
    </row>
    <row r="141" customFormat="false" ht="15" hidden="false" customHeight="false" outlineLevel="0" collapsed="false">
      <c r="A141" s="2" t="s">
        <v>269</v>
      </c>
      <c r="B141" s="3" t="s">
        <v>270</v>
      </c>
      <c r="C141" s="2" t="s">
        <v>19</v>
      </c>
      <c r="D141" s="2" t="s">
        <v>15</v>
      </c>
      <c r="E141" s="4" t="n">
        <v>166900000</v>
      </c>
      <c r="F141" s="5" t="n">
        <v>0.1567</v>
      </c>
      <c r="G141" s="6" t="n">
        <f aca="false">E141*(1+F141)</f>
        <v>193053230</v>
      </c>
      <c r="H141" s="5" t="n">
        <v>0.0161</v>
      </c>
      <c r="I141" s="6" t="n">
        <f aca="false">E141*H141</f>
        <v>2687090</v>
      </c>
      <c r="J141" s="7" t="n">
        <v>44</v>
      </c>
      <c r="K141" s="2" t="s">
        <v>21</v>
      </c>
      <c r="L141" s="8" t="n">
        <v>45760</v>
      </c>
    </row>
    <row r="142" customFormat="false" ht="15" hidden="false" customHeight="false" outlineLevel="0" collapsed="false">
      <c r="A142" s="2" t="s">
        <v>271</v>
      </c>
      <c r="B142" s="3" t="s">
        <v>147</v>
      </c>
      <c r="C142" s="2" t="s">
        <v>14</v>
      </c>
      <c r="D142" s="2" t="s">
        <v>20</v>
      </c>
      <c r="E142" s="4" t="n">
        <v>22600000</v>
      </c>
      <c r="F142" s="5" t="n">
        <v>0.1737</v>
      </c>
      <c r="G142" s="6" t="n">
        <f aca="false">E142*(1+F142)</f>
        <v>26525620</v>
      </c>
      <c r="H142" s="5" t="n">
        <v>0.0934</v>
      </c>
      <c r="I142" s="6" t="n">
        <f aca="false">E142*H142</f>
        <v>2110840</v>
      </c>
      <c r="J142" s="7" t="n">
        <v>31</v>
      </c>
      <c r="K142" s="2" t="s">
        <v>16</v>
      </c>
      <c r="L142" s="8" t="n">
        <v>45840</v>
      </c>
    </row>
    <row r="143" customFormat="false" ht="15" hidden="false" customHeight="false" outlineLevel="0" collapsed="false">
      <c r="A143" s="2" t="s">
        <v>272</v>
      </c>
      <c r="B143" s="3" t="s">
        <v>216</v>
      </c>
      <c r="C143" s="2" t="s">
        <v>29</v>
      </c>
      <c r="D143" s="2" t="s">
        <v>20</v>
      </c>
      <c r="E143" s="4" t="n">
        <v>57200000</v>
      </c>
      <c r="F143" s="5" t="n">
        <v>0.19</v>
      </c>
      <c r="G143" s="6" t="n">
        <f aca="false">E143*(1+F143)</f>
        <v>68068000</v>
      </c>
      <c r="H143" s="5" t="n">
        <v>0.132</v>
      </c>
      <c r="I143" s="6" t="n">
        <f aca="false">E143*H143</f>
        <v>7550400</v>
      </c>
      <c r="J143" s="7" t="n">
        <v>43</v>
      </c>
      <c r="K143" s="2" t="s">
        <v>16</v>
      </c>
      <c r="L143" s="8" t="n">
        <v>45855</v>
      </c>
    </row>
    <row r="144" customFormat="false" ht="15" hidden="false" customHeight="false" outlineLevel="0" collapsed="false">
      <c r="A144" s="2" t="s">
        <v>273</v>
      </c>
      <c r="B144" s="3" t="s">
        <v>274</v>
      </c>
      <c r="C144" s="2" t="s">
        <v>19</v>
      </c>
      <c r="D144" s="2" t="s">
        <v>20</v>
      </c>
      <c r="E144" s="4" t="n">
        <v>5900000</v>
      </c>
      <c r="F144" s="5" t="n">
        <v>0.1864</v>
      </c>
      <c r="G144" s="6" t="n">
        <f aca="false">E144*(1+F144)</f>
        <v>6999760</v>
      </c>
      <c r="H144" s="5" t="n">
        <v>0.0796</v>
      </c>
      <c r="I144" s="6" t="n">
        <f aca="false">E144*H144</f>
        <v>469640</v>
      </c>
      <c r="J144" s="7" t="n">
        <v>32</v>
      </c>
      <c r="K144" s="2" t="s">
        <v>21</v>
      </c>
      <c r="L144" s="8" t="n">
        <v>45750</v>
      </c>
    </row>
    <row r="145" customFormat="false" ht="15" hidden="false" customHeight="false" outlineLevel="0" collapsed="false">
      <c r="A145" s="2" t="s">
        <v>275</v>
      </c>
      <c r="B145" s="3" t="s">
        <v>276</v>
      </c>
      <c r="C145" s="2" t="s">
        <v>49</v>
      </c>
      <c r="D145" s="2" t="s">
        <v>15</v>
      </c>
      <c r="E145" s="4" t="n">
        <v>98200000</v>
      </c>
      <c r="F145" s="5" t="n">
        <v>0.1723</v>
      </c>
      <c r="G145" s="6" t="n">
        <f aca="false">E145*(1+F145)</f>
        <v>115119860</v>
      </c>
      <c r="H145" s="5" t="n">
        <v>0.0355</v>
      </c>
      <c r="I145" s="6" t="n">
        <f aca="false">E145*H145</f>
        <v>3486100</v>
      </c>
      <c r="J145" s="7" t="n">
        <v>43</v>
      </c>
      <c r="K145" s="2" t="s">
        <v>21</v>
      </c>
      <c r="L145" s="8" t="n">
        <v>45886</v>
      </c>
    </row>
    <row r="146" customFormat="false" ht="15" hidden="false" customHeight="false" outlineLevel="0" collapsed="false">
      <c r="A146" s="2" t="s">
        <v>277</v>
      </c>
      <c r="B146" s="3" t="s">
        <v>130</v>
      </c>
      <c r="C146" s="2" t="s">
        <v>19</v>
      </c>
      <c r="D146" s="2" t="s">
        <v>15</v>
      </c>
      <c r="E146" s="4" t="n">
        <v>180500000</v>
      </c>
      <c r="F146" s="5" t="n">
        <v>0.1757</v>
      </c>
      <c r="G146" s="6" t="n">
        <f aca="false">E146*(1+F146)</f>
        <v>212213850</v>
      </c>
      <c r="H146" s="5" t="n">
        <v>0.1314</v>
      </c>
      <c r="I146" s="6" t="n">
        <f aca="false">E146*H146</f>
        <v>23717700</v>
      </c>
      <c r="J146" s="7" t="n">
        <v>35</v>
      </c>
      <c r="K146" s="2" t="s">
        <v>24</v>
      </c>
      <c r="L146" s="8" t="n">
        <v>45882</v>
      </c>
    </row>
    <row r="147" customFormat="false" ht="15" hidden="false" customHeight="false" outlineLevel="0" collapsed="false">
      <c r="A147" s="2" t="s">
        <v>278</v>
      </c>
      <c r="B147" s="3" t="s">
        <v>279</v>
      </c>
      <c r="C147" s="2" t="s">
        <v>19</v>
      </c>
      <c r="D147" s="2" t="s">
        <v>38</v>
      </c>
      <c r="E147" s="4" t="n">
        <v>60100000</v>
      </c>
      <c r="F147" s="5" t="n">
        <v>0.1691</v>
      </c>
      <c r="G147" s="6" t="n">
        <f aca="false">E147*(1+F147)</f>
        <v>70262910</v>
      </c>
      <c r="H147" s="5" t="n">
        <v>0.0543</v>
      </c>
      <c r="I147" s="6" t="n">
        <f aca="false">E147*H147</f>
        <v>3263430</v>
      </c>
      <c r="J147" s="7" t="n">
        <v>31</v>
      </c>
      <c r="K147" s="2" t="s">
        <v>21</v>
      </c>
      <c r="L147" s="8" t="n">
        <v>45847</v>
      </c>
    </row>
    <row r="148" customFormat="false" ht="15" hidden="false" customHeight="false" outlineLevel="0" collapsed="false">
      <c r="A148" s="2" t="s">
        <v>280</v>
      </c>
      <c r="B148" s="3" t="s">
        <v>281</v>
      </c>
      <c r="C148" s="2" t="s">
        <v>19</v>
      </c>
      <c r="D148" s="2" t="s">
        <v>20</v>
      </c>
      <c r="E148" s="4" t="n">
        <v>164500000</v>
      </c>
      <c r="F148" s="5" t="n">
        <v>0.1625</v>
      </c>
      <c r="G148" s="6" t="n">
        <f aca="false">E148*(1+F148)</f>
        <v>191231250</v>
      </c>
      <c r="H148" s="5" t="n">
        <v>0.0149</v>
      </c>
      <c r="I148" s="6" t="n">
        <f aca="false">E148*H148</f>
        <v>2451050</v>
      </c>
      <c r="J148" s="7" t="n">
        <v>33</v>
      </c>
      <c r="K148" s="2" t="s">
        <v>21</v>
      </c>
      <c r="L148" s="8" t="n">
        <v>45923</v>
      </c>
    </row>
    <row r="149" customFormat="false" ht="15" hidden="false" customHeight="false" outlineLevel="0" collapsed="false">
      <c r="A149" s="2" t="s">
        <v>282</v>
      </c>
      <c r="B149" s="3" t="s">
        <v>283</v>
      </c>
      <c r="C149" s="2" t="s">
        <v>19</v>
      </c>
      <c r="D149" s="2" t="s">
        <v>15</v>
      </c>
      <c r="E149" s="4" t="n">
        <v>134300000</v>
      </c>
      <c r="F149" s="5" t="n">
        <v>0.1723</v>
      </c>
      <c r="G149" s="6" t="n">
        <f aca="false">E149*(1+F149)</f>
        <v>157439890</v>
      </c>
      <c r="H149" s="5" t="n">
        <v>0.1499</v>
      </c>
      <c r="I149" s="6" t="n">
        <f aca="false">E149*H149</f>
        <v>20131570</v>
      </c>
      <c r="J149" s="7" t="n">
        <v>39</v>
      </c>
      <c r="K149" s="2" t="s">
        <v>16</v>
      </c>
      <c r="L149" s="8" t="n">
        <v>45760</v>
      </c>
    </row>
    <row r="150" customFormat="false" ht="15" hidden="false" customHeight="false" outlineLevel="0" collapsed="false">
      <c r="A150" s="2" t="s">
        <v>284</v>
      </c>
      <c r="B150" s="3" t="s">
        <v>151</v>
      </c>
      <c r="C150" s="2" t="s">
        <v>19</v>
      </c>
      <c r="D150" s="2" t="s">
        <v>15</v>
      </c>
      <c r="E150" s="4" t="n">
        <v>177900000</v>
      </c>
      <c r="F150" s="5" t="n">
        <v>0.1905</v>
      </c>
      <c r="G150" s="6" t="n">
        <f aca="false">E150*(1+F150)</f>
        <v>211789950</v>
      </c>
      <c r="H150" s="5" t="n">
        <v>0.0568</v>
      </c>
      <c r="I150" s="6" t="n">
        <f aca="false">E150*H150</f>
        <v>10104720</v>
      </c>
      <c r="J150" s="7" t="n">
        <v>40</v>
      </c>
      <c r="K150" s="2" t="s">
        <v>21</v>
      </c>
      <c r="L150" s="8" t="n">
        <v>45939</v>
      </c>
    </row>
    <row r="151" customFormat="false" ht="15" hidden="false" customHeight="false" outlineLevel="0" collapsed="false">
      <c r="A151" s="2" t="s">
        <v>285</v>
      </c>
      <c r="B151" s="3" t="s">
        <v>286</v>
      </c>
      <c r="C151" s="2" t="s">
        <v>49</v>
      </c>
      <c r="D151" s="2" t="s">
        <v>38</v>
      </c>
      <c r="E151" s="4" t="n">
        <v>183700000</v>
      </c>
      <c r="F151" s="5" t="n">
        <v>0.1964</v>
      </c>
      <c r="G151" s="6" t="n">
        <f aca="false">E151*(1+F151)</f>
        <v>219778680</v>
      </c>
      <c r="H151" s="5" t="n">
        <v>0.1156</v>
      </c>
      <c r="I151" s="6" t="n">
        <f aca="false">E151*H151</f>
        <v>21235720</v>
      </c>
      <c r="J151" s="7" t="n">
        <v>35</v>
      </c>
      <c r="K151" s="2" t="s">
        <v>16</v>
      </c>
      <c r="L151" s="8" t="n">
        <v>45720</v>
      </c>
    </row>
    <row r="153" customFormat="false" ht="15" hidden="false" customHeight="false" outlineLevel="0" collapsed="false">
      <c r="A153" s="9" t="s">
        <v>287</v>
      </c>
    </row>
  </sheetData>
  <conditionalFormatting sqref="K2:K151">
    <cfRule type="cellIs" priority="2" operator="equal" aboveAverage="0" equalAverage="0" bottom="0" percent="0" rank="0" text="" dxfId="8">
      <formula>"Suspendido"</formula>
    </cfRule>
    <cfRule type="cellIs" priority="3" operator="equal" aboveAverage="0" equalAverage="0" bottom="0" percent="0" rank="0" text="" dxfId="9">
      <formula>"En riesgo"</formula>
    </cfRule>
    <cfRule type="cellIs" priority="4" operator="equal" aboveAverage="0" equalAverage="0" bottom="0" percent="0" rank="0" text="" dxfId="10">
      <formula>"Activo"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0" t="s">
        <v>288</v>
      </c>
      <c r="B1" s="10"/>
    </row>
    <row r="3" customFormat="false" ht="15" hidden="false" customHeight="false" outlineLevel="0" collapsed="false">
      <c r="A3" s="11" t="s">
        <v>289</v>
      </c>
      <c r="B3" s="12" t="n">
        <f aca="false">COUNTA(Clientes!A2:A151)</f>
        <v>150</v>
      </c>
    </row>
    <row r="4" customFormat="false" ht="15" hidden="false" customHeight="false" outlineLevel="0" collapsed="false">
      <c r="A4" s="11" t="s">
        <v>290</v>
      </c>
      <c r="B4" s="12" t="n">
        <f aca="false">COUNTIF(Clientes!K2:K151,"Activo")</f>
        <v>102</v>
      </c>
    </row>
    <row r="5" customFormat="false" ht="15" hidden="false" customHeight="false" outlineLevel="0" collapsed="false">
      <c r="A5" s="11" t="s">
        <v>291</v>
      </c>
      <c r="B5" s="12" t="n">
        <f aca="false">COUNTIF(Clientes!K2:K151,"En riesgo")</f>
        <v>27</v>
      </c>
    </row>
    <row r="6" customFormat="false" ht="15" hidden="false" customHeight="false" outlineLevel="0" collapsed="false">
      <c r="A6" s="11" t="s">
        <v>292</v>
      </c>
      <c r="B6" s="12" t="n">
        <f aca="false">COUNTIF(Clientes!K2:K151,"Suspendido")</f>
        <v>21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 t="s">
        <v>293</v>
      </c>
      <c r="B8" s="13" t="n">
        <f aca="false">SUM(Clientes!E2:E151)</f>
        <v>11061500000</v>
      </c>
    </row>
    <row r="9" customFormat="false" ht="15" hidden="false" customHeight="false" outlineLevel="0" collapsed="false">
      <c r="A9" s="11" t="s">
        <v>294</v>
      </c>
      <c r="B9" s="13" t="n">
        <f aca="false">SUM(Clientes!G2:G151)</f>
        <v>12973355990</v>
      </c>
    </row>
    <row r="10" customFormat="false" ht="15" hidden="false" customHeight="false" outlineLevel="0" collapsed="false">
      <c r="A10" s="11" t="s">
        <v>295</v>
      </c>
      <c r="B10" s="14" t="n">
        <f aca="false">B9/B8-1</f>
        <v>0.172838764182073</v>
      </c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11" t="s">
        <v>296</v>
      </c>
      <c r="B12" s="13" t="n">
        <f aca="false">SUM(Clientes!I2:I151)</f>
        <v>761274180</v>
      </c>
    </row>
    <row r="13" customFormat="false" ht="15" hidden="false" customHeight="false" outlineLevel="0" collapsed="false">
      <c r="A13" s="11" t="s">
        <v>297</v>
      </c>
      <c r="B13" s="13" t="n">
        <f aca="false">B12/B8</f>
        <v>0.0688219662794377</v>
      </c>
    </row>
    <row r="14" customFormat="false" ht="15" hidden="false" customHeight="false" outlineLevel="0" collapsed="false">
      <c r="A14" s="11" t="s">
        <v>298</v>
      </c>
      <c r="B14" s="13" t="n">
        <f aca="false">SUMIFS(Clientes!I2:I151,Clientes!K2:K151,"En riesgo")+SUMIFS(Clientes!I2:I151,Clientes!K2:K151,"Suspendido")</f>
        <v>469885170</v>
      </c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1" t="s">
        <v>299</v>
      </c>
      <c r="B16" s="12" t="n">
        <f aca="false">COUNTIF(Clientes!E2:E151,"&gt;50000000")</f>
        <v>75</v>
      </c>
    </row>
    <row r="17" customFormat="false" ht="15" hidden="false" customHeight="false" outlineLevel="0" collapsed="false">
      <c r="A17" s="11" t="s">
        <v>300</v>
      </c>
      <c r="B17" s="12" t="n">
        <f aca="false">COUNTIFS(Clientes!E2:E151,"&gt;=10000000",Clientes!E2:E151,"&lt;=50000000")</f>
        <v>45</v>
      </c>
    </row>
    <row r="18" customFormat="false" ht="15" hidden="false" customHeight="false" outlineLevel="0" collapsed="false">
      <c r="A18" s="11" t="s">
        <v>301</v>
      </c>
      <c r="B18" s="12" t="n">
        <f aca="false">COUNTIF(Clientes!E2:E151,"&lt;10000000")</f>
        <v>30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302</v>
      </c>
      <c r="B20" s="15" t="n">
        <f aca="false">AVERAGE(Clientes!J2:J151)</f>
        <v>37.3</v>
      </c>
    </row>
    <row r="22" customFormat="false" ht="15" hidden="false" customHeight="false" outlineLevel="0" collapsed="false">
      <c r="A22" s="16" t="s">
        <v>303</v>
      </c>
    </row>
    <row r="23" customFormat="false" ht="15" hidden="false" customHeight="false" outlineLevel="0" collapsed="false">
      <c r="A23" s="17" t="s">
        <v>304</v>
      </c>
      <c r="B23" s="17" t="s">
        <v>305</v>
      </c>
      <c r="C23" s="17" t="s">
        <v>2</v>
      </c>
      <c r="D23" s="17" t="s">
        <v>6</v>
      </c>
    </row>
    <row r="24" customFormat="false" ht="15" hidden="false" customHeight="false" outlineLevel="0" collapsed="false">
      <c r="A24" s="11" t="s">
        <v>65</v>
      </c>
      <c r="B24" s="11" t="s">
        <v>66</v>
      </c>
      <c r="C24" s="11" t="s">
        <v>29</v>
      </c>
      <c r="D24" s="18" t="n">
        <f aca="false">Clientes!G24</f>
        <v>227627600</v>
      </c>
    </row>
    <row r="25" customFormat="false" ht="15" hidden="false" customHeight="false" outlineLevel="0" collapsed="false">
      <c r="A25" s="11" t="s">
        <v>164</v>
      </c>
      <c r="B25" s="11" t="s">
        <v>165</v>
      </c>
      <c r="C25" s="11" t="s">
        <v>49</v>
      </c>
      <c r="D25" s="18" t="n">
        <f aca="false">Clientes!G79</f>
        <v>225491600</v>
      </c>
    </row>
    <row r="26" customFormat="false" ht="15" hidden="false" customHeight="false" outlineLevel="0" collapsed="false">
      <c r="A26" s="11" t="s">
        <v>52</v>
      </c>
      <c r="B26" s="11" t="s">
        <v>23</v>
      </c>
      <c r="C26" s="11" t="s">
        <v>14</v>
      </c>
      <c r="D26" s="18" t="n">
        <f aca="false">Clientes!G17</f>
        <v>224081760</v>
      </c>
    </row>
    <row r="27" customFormat="false" ht="15" hidden="false" customHeight="false" outlineLevel="0" collapsed="false">
      <c r="A27" s="11" t="s">
        <v>194</v>
      </c>
      <c r="B27" s="11" t="s">
        <v>51</v>
      </c>
      <c r="C27" s="11" t="s">
        <v>49</v>
      </c>
      <c r="D27" s="18" t="n">
        <f aca="false">Clientes!G95</f>
        <v>223772980</v>
      </c>
    </row>
    <row r="28" customFormat="false" ht="15" hidden="false" customHeight="false" outlineLevel="0" collapsed="false">
      <c r="A28" s="11" t="s">
        <v>39</v>
      </c>
      <c r="B28" s="11" t="s">
        <v>40</v>
      </c>
      <c r="C28" s="11" t="s">
        <v>19</v>
      </c>
      <c r="D28" s="18" t="n">
        <f aca="false">Clientes!G11</f>
        <v>222920100</v>
      </c>
    </row>
    <row r="29" customFormat="false" ht="15" hidden="false" customHeight="false" outlineLevel="0" collapsed="false">
      <c r="A29" s="11" t="s">
        <v>231</v>
      </c>
      <c r="B29" s="11" t="s">
        <v>232</v>
      </c>
      <c r="C29" s="11" t="s">
        <v>29</v>
      </c>
      <c r="D29" s="18" t="n">
        <f aca="false">Clientes!G117</f>
        <v>220298400</v>
      </c>
    </row>
    <row r="30" customFormat="false" ht="15" hidden="false" customHeight="false" outlineLevel="0" collapsed="false">
      <c r="A30" s="11" t="s">
        <v>285</v>
      </c>
      <c r="B30" s="11" t="s">
        <v>286</v>
      </c>
      <c r="C30" s="11" t="s">
        <v>49</v>
      </c>
      <c r="D30" s="18" t="n">
        <f aca="false">Clientes!G151</f>
        <v>219778680</v>
      </c>
    </row>
    <row r="31" customFormat="false" ht="15" hidden="false" customHeight="false" outlineLevel="0" collapsed="false">
      <c r="A31" s="11" t="s">
        <v>111</v>
      </c>
      <c r="B31" s="11" t="s">
        <v>112</v>
      </c>
      <c r="C31" s="11" t="s">
        <v>49</v>
      </c>
      <c r="D31" s="18" t="n">
        <f aca="false">Clientes!G48</f>
        <v>219641520</v>
      </c>
    </row>
    <row r="32" customFormat="false" ht="15" hidden="false" customHeight="false" outlineLevel="0" collapsed="false">
      <c r="A32" s="11" t="s">
        <v>237</v>
      </c>
      <c r="B32" s="11" t="s">
        <v>238</v>
      </c>
      <c r="C32" s="11" t="s">
        <v>49</v>
      </c>
      <c r="D32" s="18" t="n">
        <f aca="false">Clientes!G120</f>
        <v>218304500</v>
      </c>
    </row>
    <row r="33" customFormat="false" ht="15" hidden="false" customHeight="false" outlineLevel="0" collapsed="false">
      <c r="A33" s="11" t="s">
        <v>12</v>
      </c>
      <c r="B33" s="11" t="s">
        <v>13</v>
      </c>
      <c r="C33" s="11" t="s">
        <v>14</v>
      </c>
      <c r="D33" s="18" t="n">
        <f aca="false">Clientes!G2</f>
        <v>216881840</v>
      </c>
    </row>
    <row r="35" customFormat="false" ht="15" hidden="false" customHeight="false" outlineLevel="0" collapsed="false">
      <c r="A35" s="9" t="s">
        <v>306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2026-08-11T03:19:43Z</dcterms:created>
  <dc:creator>openpyxl</dc:creator>
  <dc:description/>
  <dc:language>en-US</dc:language>
  <cp:lastModifiedBy/>
  <dcterms:modified xsi:type="dcterms:W3CDTF">2026-08-11T03:19:43Z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