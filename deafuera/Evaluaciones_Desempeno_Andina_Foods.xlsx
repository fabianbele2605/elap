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Evaluaciones" sheetId="1" state="visible" r:id="rId3"/>
    <sheet name="Resumen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<sst xmlns="http://schemas.openxmlformats.org/spreadsheetml/2006/main" count="1360" uniqueCount="471">
  <si>
    <t xml:space="preserve">ID Empleado</t>
  </si>
  <si>
    <t xml:space="preserve">Nombre</t>
  </si>
  <si>
    <t xml:space="preserve">Cargo</t>
  </si>
  <si>
    <t xml:space="preserve">Departamento</t>
  </si>
  <si>
    <t xml:space="preserve">Evaluador (Jefe Directo)</t>
  </si>
  <si>
    <t xml:space="preserve">Fecha Evaluación</t>
  </si>
  <si>
    <t xml:space="preserve">Salario Base Mensual (COP)</t>
  </si>
  <si>
    <t xml:space="preserve">Cumplimiento de Objetivos</t>
  </si>
  <si>
    <t xml:space="preserve">Calidad del Trabajo</t>
  </si>
  <si>
    <t xml:space="preserve">Puntualidad/Asistencia</t>
  </si>
  <si>
    <t xml:space="preserve">Trabajo en Equipo</t>
  </si>
  <si>
    <t xml:space="preserve">Innovación</t>
  </si>
  <si>
    <t xml:space="preserve">Atención al Cliente</t>
  </si>
  <si>
    <t xml:space="preserve">Puntaje Promedio</t>
  </si>
  <si>
    <t xml:space="preserve">Calificación General</t>
  </si>
  <si>
    <t xml:space="preserve">Bono Anual %</t>
  </si>
  <si>
    <t xml:space="preserve">Bono Anual (COP)</t>
  </si>
  <si>
    <t xml:space="preserve">Comentarios</t>
  </si>
  <si>
    <t xml:space="preserve">Recomendación</t>
  </si>
  <si>
    <t xml:space="preserve">E001</t>
  </si>
  <si>
    <t xml:space="preserve">Laura Rojas Iguarán</t>
  </si>
  <si>
    <t xml:space="preserve">Gerente General</t>
  </si>
  <si>
    <t xml:space="preserve">Gerencia General</t>
  </si>
  <si>
    <t xml:space="preserve">Junta Directiva</t>
  </si>
  <si>
    <t xml:space="preserve">Sólido desempeño en el periodo, con buena disposición al aprendizaje.</t>
  </si>
  <si>
    <t xml:space="preserve">Ascenso</t>
  </si>
  <si>
    <t xml:space="preserve">E002</t>
  </si>
  <si>
    <t xml:space="preserve">Eduardo Jiménez Torres</t>
  </si>
  <si>
    <t xml:space="preserve">Gerente de Ventas</t>
  </si>
  <si>
    <t xml:space="preserve">Ventas</t>
  </si>
  <si>
    <t xml:space="preserve">Excelente calidad de trabajo y liderazgo dentro de su equipo.</t>
  </si>
  <si>
    <t xml:space="preserve">Mantener</t>
  </si>
  <si>
    <t xml:space="preserve">E003</t>
  </si>
  <si>
    <t xml:space="preserve">Diego Mendoza Redondo</t>
  </si>
  <si>
    <t xml:space="preserve">Supervisor Comercial</t>
  </si>
  <si>
    <t xml:space="preserve">Muestra compromiso y calidad en su trabajo; buen ambiente de equipo.</t>
  </si>
  <si>
    <t xml:space="preserve">E004</t>
  </si>
  <si>
    <t xml:space="preserve">Yeison Rojas Salcedo</t>
  </si>
  <si>
    <t xml:space="preserve">E005</t>
  </si>
  <si>
    <t xml:space="preserve">Hernán Mendoza Morales</t>
  </si>
  <si>
    <t xml:space="preserve">E006</t>
  </si>
  <si>
    <t xml:space="preserve">Nelson Castro Manjarrez</t>
  </si>
  <si>
    <t xml:space="preserve">E007</t>
  </si>
  <si>
    <t xml:space="preserve">Diana Redondo Pérez</t>
  </si>
  <si>
    <t xml:space="preserve">Asesor Comercial</t>
  </si>
  <si>
    <t xml:space="preserve">Cumple con lo esperado en la mayoría de sus funciones; puede mejorar en algunos aspectos.</t>
  </si>
  <si>
    <t xml:space="preserve">E008</t>
  </si>
  <si>
    <t xml:space="preserve">Ingrid Pacheco Martínez</t>
  </si>
  <si>
    <t xml:space="preserve">E009</t>
  </si>
  <si>
    <t xml:space="preserve">María Barros Morales</t>
  </si>
  <si>
    <t xml:space="preserve">Desempeño estable; se recomienda reforzar innovación y proactividad.</t>
  </si>
  <si>
    <t xml:space="preserve">Capacitación</t>
  </si>
  <si>
    <t xml:space="preserve">E010</t>
  </si>
  <si>
    <t xml:space="preserve">Diana Polo Redondo</t>
  </si>
  <si>
    <t xml:space="preserve">E011</t>
  </si>
  <si>
    <t xml:space="preserve">Nelson López Muñoz</t>
  </si>
  <si>
    <t xml:space="preserve">Bajo desempeño generalizado; se requiere seguimiento cercano y capacitación urgente.</t>
  </si>
  <si>
    <t xml:space="preserve">PIP</t>
  </si>
  <si>
    <t xml:space="preserve">E012</t>
  </si>
  <si>
    <t xml:space="preserve">Sergio Vargas Cervantes</t>
  </si>
  <si>
    <t xml:space="preserve">Buen desempeño general; cumple consistentemente sus objetivos y metas.</t>
  </si>
  <si>
    <t xml:space="preserve">E013</t>
  </si>
  <si>
    <t xml:space="preserve">Kevin Castro Martínez</t>
  </si>
  <si>
    <t xml:space="preserve">E014</t>
  </si>
  <si>
    <t xml:space="preserve">Andrés Vargas Vega</t>
  </si>
  <si>
    <t xml:space="preserve">E015</t>
  </si>
  <si>
    <t xml:space="preserve">Diana Barros Pérez</t>
  </si>
  <si>
    <t xml:space="preserve">Desempeño sobresaliente; supera consistentemente los objetivos planteados.</t>
  </si>
  <si>
    <t xml:space="preserve">E016</t>
  </si>
  <si>
    <t xml:space="preserve">Óscar Chamorro Gómez</t>
  </si>
  <si>
    <t xml:space="preserve">E017</t>
  </si>
  <si>
    <t xml:space="preserve">Yesenia Torres Redondo</t>
  </si>
  <si>
    <t xml:space="preserve">Cumple parcialmente los objetivos; se recomienda plan de capacitación específico.</t>
  </si>
  <si>
    <t xml:space="preserve">E018</t>
  </si>
  <si>
    <t xml:space="preserve">Mónica López Morales</t>
  </si>
  <si>
    <t xml:space="preserve">E019</t>
  </si>
  <si>
    <t xml:space="preserve">Yolanda Escobar Pacheco</t>
  </si>
  <si>
    <t xml:space="preserve">E020</t>
  </si>
  <si>
    <t xml:space="preserve">Gustavo Vega López</t>
  </si>
  <si>
    <t xml:space="preserve">E021</t>
  </si>
  <si>
    <t xml:space="preserve">Alejandro Iguarán Salcedo</t>
  </si>
  <si>
    <t xml:space="preserve">E022</t>
  </si>
  <si>
    <t xml:space="preserve">Jorge Ramírez Díaz</t>
  </si>
  <si>
    <t xml:space="preserve">E023</t>
  </si>
  <si>
    <t xml:space="preserve">Alejandra Castro Salcedo</t>
  </si>
  <si>
    <t xml:space="preserve">Incumplimientos reiterados en entregas y baja calidad en el trabajo entregado.</t>
  </si>
  <si>
    <t xml:space="preserve">E024</t>
  </si>
  <si>
    <t xml:space="preserve">Sergio Padilla Romero</t>
  </si>
  <si>
    <t xml:space="preserve">Presenta oportunidades de mejora en calidad y cumplimiento de metas.</t>
  </si>
  <si>
    <t xml:space="preserve">E025</t>
  </si>
  <si>
    <t xml:space="preserve">Carolina Herrera Ramírez</t>
  </si>
  <si>
    <t xml:space="preserve">E026</t>
  </si>
  <si>
    <t xml:space="preserve">Alejandra García Blanco</t>
  </si>
  <si>
    <t xml:space="preserve">E027</t>
  </si>
  <si>
    <t xml:space="preserve">María Núñez López</t>
  </si>
  <si>
    <t xml:space="preserve">E028</t>
  </si>
  <si>
    <t xml:space="preserve">Liliana Mendoza Pacheco</t>
  </si>
  <si>
    <t xml:space="preserve">Desempeño por debajo de lo esperado; necesita apoyo y seguimiento en varias competencias.</t>
  </si>
  <si>
    <t xml:space="preserve">E029</t>
  </si>
  <si>
    <t xml:space="preserve">Gina Mendoza Salcedo</t>
  </si>
  <si>
    <t xml:space="preserve">E030</t>
  </si>
  <si>
    <t xml:space="preserve">Diana Castro Martínez</t>
  </si>
  <si>
    <t xml:space="preserve">E031</t>
  </si>
  <si>
    <t xml:space="preserve">Gina Cervantes Ortiz</t>
  </si>
  <si>
    <t xml:space="preserve">E032</t>
  </si>
  <si>
    <t xml:space="preserve">Carolina Suárez Sánchez</t>
  </si>
  <si>
    <t xml:space="preserve">E033</t>
  </si>
  <si>
    <t xml:space="preserve">Liliana Jiménez Mendoza</t>
  </si>
  <si>
    <t xml:space="preserve">E034</t>
  </si>
  <si>
    <t xml:space="preserve">Yulieth Pérez Cervantes</t>
  </si>
  <si>
    <t xml:space="preserve">E035</t>
  </si>
  <si>
    <t xml:space="preserve">Yolanda García Blanco</t>
  </si>
  <si>
    <t xml:space="preserve">Buen cumplimiento general, con espacio para crecer en trabajo en equipo.</t>
  </si>
  <si>
    <t xml:space="preserve">E036</t>
  </si>
  <si>
    <t xml:space="preserve">Ingrid Vega Escobar</t>
  </si>
  <si>
    <t xml:space="preserve">E037</t>
  </si>
  <si>
    <t xml:space="preserve">Diego Barros Castillo</t>
  </si>
  <si>
    <t xml:space="preserve">Referente para su área; alto compromiso, calidad e innovación.</t>
  </si>
  <si>
    <t xml:space="preserve">E038</t>
  </si>
  <si>
    <t xml:space="preserve">Viviana Castillo Mendoza</t>
  </si>
  <si>
    <t xml:space="preserve">E039</t>
  </si>
  <si>
    <t xml:space="preserve">Mónica Mendoza Álvarez</t>
  </si>
  <si>
    <t xml:space="preserve">E040</t>
  </si>
  <si>
    <t xml:space="preserve">Gustavo Gómez Muñoz</t>
  </si>
  <si>
    <t xml:space="preserve">E041</t>
  </si>
  <si>
    <t xml:space="preserve">Mónica Vargas Herrera</t>
  </si>
  <si>
    <t xml:space="preserve">E042</t>
  </si>
  <si>
    <t xml:space="preserve">Carolina Salcedo Muñoz</t>
  </si>
  <si>
    <t xml:space="preserve">E043</t>
  </si>
  <si>
    <t xml:space="preserve">María Ramírez Blanco</t>
  </si>
  <si>
    <t xml:space="preserve">E044</t>
  </si>
  <si>
    <t xml:space="preserve">Carlos Redondo Suárez</t>
  </si>
  <si>
    <t xml:space="preserve">E045</t>
  </si>
  <si>
    <t xml:space="preserve">Kevin Cervantes Morales</t>
  </si>
  <si>
    <t xml:space="preserve">E046</t>
  </si>
  <si>
    <t xml:space="preserve">Beatriz Polo Padilla</t>
  </si>
  <si>
    <t xml:space="preserve">E047</t>
  </si>
  <si>
    <t xml:space="preserve">Mónica Rodríguez Sánchez</t>
  </si>
  <si>
    <t xml:space="preserve">E048</t>
  </si>
  <si>
    <t xml:space="preserve">Sandra Núñez Martínez</t>
  </si>
  <si>
    <t xml:space="preserve">E049</t>
  </si>
  <si>
    <t xml:space="preserve">Wilson Suárez Cárdenas</t>
  </si>
  <si>
    <t xml:space="preserve">E050</t>
  </si>
  <si>
    <t xml:space="preserve">Mónica Sánchez Pacheco</t>
  </si>
  <si>
    <t xml:space="preserve">E051</t>
  </si>
  <si>
    <t xml:space="preserve">Alejandra Herrera Polo</t>
  </si>
  <si>
    <t xml:space="preserve">E052</t>
  </si>
  <si>
    <t xml:space="preserve">Adriana Torres Cervantes</t>
  </si>
  <si>
    <t xml:space="preserve">E053</t>
  </si>
  <si>
    <t xml:space="preserve">Beatriz Padilla Castro</t>
  </si>
  <si>
    <t xml:space="preserve">E054</t>
  </si>
  <si>
    <t xml:space="preserve">Yolanda Morales Medina</t>
  </si>
  <si>
    <t xml:space="preserve">E055</t>
  </si>
  <si>
    <t xml:space="preserve">Laura Castro Vega</t>
  </si>
  <si>
    <t xml:space="preserve">E056</t>
  </si>
  <si>
    <t xml:space="preserve">Viviana García Escobar</t>
  </si>
  <si>
    <t xml:space="preserve">E057</t>
  </si>
  <si>
    <t xml:space="preserve">Nelson Redondo Gómez</t>
  </si>
  <si>
    <t xml:space="preserve">E058</t>
  </si>
  <si>
    <t xml:space="preserve">Mauricio Cantillo García</t>
  </si>
  <si>
    <t xml:space="preserve">E059</t>
  </si>
  <si>
    <t xml:space="preserve">María Manjarrez Escobar</t>
  </si>
  <si>
    <t xml:space="preserve">E060</t>
  </si>
  <si>
    <t xml:space="preserve">María Núñez Romero</t>
  </si>
  <si>
    <t xml:space="preserve">Jefe de Logística</t>
  </si>
  <si>
    <t xml:space="preserve">Logística y Distribución</t>
  </si>
  <si>
    <t xml:space="preserve">E061</t>
  </si>
  <si>
    <t xml:space="preserve">Yolanda Vargas Torres</t>
  </si>
  <si>
    <t xml:space="preserve">Supervisor de Ruta</t>
  </si>
  <si>
    <t xml:space="preserve">E062</t>
  </si>
  <si>
    <t xml:space="preserve">Álvaro Martínez López</t>
  </si>
  <si>
    <t xml:space="preserve">E063</t>
  </si>
  <si>
    <t xml:space="preserve">Carolina Padilla Castillo</t>
  </si>
  <si>
    <t xml:space="preserve">E064</t>
  </si>
  <si>
    <t xml:space="preserve">Édgar López Salcedo</t>
  </si>
  <si>
    <t xml:space="preserve">E065</t>
  </si>
  <si>
    <t xml:space="preserve">Rafael Ramírez Cantillo</t>
  </si>
  <si>
    <t xml:space="preserve">Conductor / Auxiliar de Reparto</t>
  </si>
  <si>
    <t xml:space="preserve">E066</t>
  </si>
  <si>
    <t xml:space="preserve">Felipe Medina Cárdenas</t>
  </si>
  <si>
    <t xml:space="preserve">E067</t>
  </si>
  <si>
    <t xml:space="preserve">Rafael Padilla Castro</t>
  </si>
  <si>
    <t xml:space="preserve">E068</t>
  </si>
  <si>
    <t xml:space="preserve">Diana Ramírez Torres</t>
  </si>
  <si>
    <t xml:space="preserve">E069</t>
  </si>
  <si>
    <t xml:space="preserve">Alejandro Escobar Pérez</t>
  </si>
  <si>
    <t xml:space="preserve">E070</t>
  </si>
  <si>
    <t xml:space="preserve">Kevin Mendoza Vargas</t>
  </si>
  <si>
    <t xml:space="preserve">E071</t>
  </si>
  <si>
    <t xml:space="preserve">Carolina Chamorro Iguarán</t>
  </si>
  <si>
    <t xml:space="preserve">E072</t>
  </si>
  <si>
    <t xml:space="preserve">Mauricio López Álvarez</t>
  </si>
  <si>
    <t xml:space="preserve">E073</t>
  </si>
  <si>
    <t xml:space="preserve">Mónica Suárez Castro</t>
  </si>
  <si>
    <t xml:space="preserve">E074</t>
  </si>
  <si>
    <t xml:space="preserve">Alejandro Cantillo Redondo</t>
  </si>
  <si>
    <t xml:space="preserve">E075</t>
  </si>
  <si>
    <t xml:space="preserve">Eduardo Mendoza Sánchez</t>
  </si>
  <si>
    <t xml:space="preserve">E076</t>
  </si>
  <si>
    <t xml:space="preserve">Édgar Iguarán Pérez</t>
  </si>
  <si>
    <t xml:space="preserve">E077</t>
  </si>
  <si>
    <t xml:space="preserve">Daniel Cervantes Cárdenas</t>
  </si>
  <si>
    <t xml:space="preserve">E078</t>
  </si>
  <si>
    <t xml:space="preserve">Ingrid Núñez Martínez</t>
  </si>
  <si>
    <t xml:space="preserve">E079</t>
  </si>
  <si>
    <t xml:space="preserve">Luisa Suárez Vargas</t>
  </si>
  <si>
    <t xml:space="preserve">No alcanzó los objetivos mínimos del periodo; requiere plan de mejora inmediato.</t>
  </si>
  <si>
    <t xml:space="preserve">E080</t>
  </si>
  <si>
    <t xml:space="preserve">Carlos Castillo Padilla</t>
  </si>
  <si>
    <t xml:space="preserve">E081</t>
  </si>
  <si>
    <t xml:space="preserve">Marcela Ramírez Cantillo</t>
  </si>
  <si>
    <t xml:space="preserve">E082</t>
  </si>
  <si>
    <t xml:space="preserve">Sandra Martínez Muñoz</t>
  </si>
  <si>
    <t xml:space="preserve">E083</t>
  </si>
  <si>
    <t xml:space="preserve">Julián Álvarez Romero</t>
  </si>
  <si>
    <t xml:space="preserve">E084</t>
  </si>
  <si>
    <t xml:space="preserve">Roberto Medina Chamorro</t>
  </si>
  <si>
    <t xml:space="preserve">E085</t>
  </si>
  <si>
    <t xml:space="preserve">Alejandro Rodríguez Castillo</t>
  </si>
  <si>
    <t xml:space="preserve">E086</t>
  </si>
  <si>
    <t xml:space="preserve">Beatriz Blanco Ortiz</t>
  </si>
  <si>
    <t xml:space="preserve">E087</t>
  </si>
  <si>
    <t xml:space="preserve">Cristian Salcedo López</t>
  </si>
  <si>
    <t xml:space="preserve">E088</t>
  </si>
  <si>
    <t xml:space="preserve">Camilo Herrera Vargas</t>
  </si>
  <si>
    <t xml:space="preserve">E089</t>
  </si>
  <si>
    <t xml:space="preserve">Freddy Gómez Manjarrez</t>
  </si>
  <si>
    <t xml:space="preserve">E090</t>
  </si>
  <si>
    <t xml:space="preserve">Rafael Torres Castro</t>
  </si>
  <si>
    <t xml:space="preserve">E091</t>
  </si>
  <si>
    <t xml:space="preserve">Carmen Herrera Castro</t>
  </si>
  <si>
    <t xml:space="preserve">E092</t>
  </si>
  <si>
    <t xml:space="preserve">Paola Gómez Martínez</t>
  </si>
  <si>
    <t xml:space="preserve">E093</t>
  </si>
  <si>
    <t xml:space="preserve">Yulieth García Vargas</t>
  </si>
  <si>
    <t xml:space="preserve">E094</t>
  </si>
  <si>
    <t xml:space="preserve">Mauricio Barros Torres</t>
  </si>
  <si>
    <t xml:space="preserve">E095</t>
  </si>
  <si>
    <t xml:space="preserve">Diana Cárdenas Blanco</t>
  </si>
  <si>
    <t xml:space="preserve">E096</t>
  </si>
  <si>
    <t xml:space="preserve">Eduardo Manjarrez Cantillo</t>
  </si>
  <si>
    <t xml:space="preserve">E097</t>
  </si>
  <si>
    <t xml:space="preserve">Jorge Barros Chamorro</t>
  </si>
  <si>
    <t xml:space="preserve">E098</t>
  </si>
  <si>
    <t xml:space="preserve">David Torres Vega</t>
  </si>
  <si>
    <t xml:space="preserve">E099</t>
  </si>
  <si>
    <t xml:space="preserve">David Herrera Vargas</t>
  </si>
  <si>
    <t xml:space="preserve">E100</t>
  </si>
  <si>
    <t xml:space="preserve">Camilo Jiménez Redondo</t>
  </si>
  <si>
    <t xml:space="preserve">E101</t>
  </si>
  <si>
    <t xml:space="preserve">Wilson Pacheco Redondo</t>
  </si>
  <si>
    <t xml:space="preserve">Jefe de Bodega</t>
  </si>
  <si>
    <t xml:space="preserve">Bodega y Almacén</t>
  </si>
  <si>
    <t xml:space="preserve">E102</t>
  </si>
  <si>
    <t xml:space="preserve">Camilo Herrera Romero</t>
  </si>
  <si>
    <t xml:space="preserve">Supervisor de Bodega</t>
  </si>
  <si>
    <t xml:space="preserve">E103</t>
  </si>
  <si>
    <t xml:space="preserve">Tatiana Rojas Sánchez</t>
  </si>
  <si>
    <t xml:space="preserve">E104</t>
  </si>
  <si>
    <t xml:space="preserve">Luis Barros López</t>
  </si>
  <si>
    <t xml:space="preserve">E105</t>
  </si>
  <si>
    <t xml:space="preserve">Mónica López Castillo</t>
  </si>
  <si>
    <t xml:space="preserve">Auxiliar de Bodega</t>
  </si>
  <si>
    <t xml:space="preserve">E106</t>
  </si>
  <si>
    <t xml:space="preserve">Felipe Herrera Gómez</t>
  </si>
  <si>
    <t xml:space="preserve">E107</t>
  </si>
  <si>
    <t xml:space="preserve">Mónica Cárdenas Ramírez</t>
  </si>
  <si>
    <t xml:space="preserve">E108</t>
  </si>
  <si>
    <t xml:space="preserve">Gustavo Mendoza Díaz</t>
  </si>
  <si>
    <t xml:space="preserve">E109</t>
  </si>
  <si>
    <t xml:space="preserve">Yolanda Rojas Cervantes</t>
  </si>
  <si>
    <t xml:space="preserve">E110</t>
  </si>
  <si>
    <t xml:space="preserve">Andrés Muñoz Ortiz</t>
  </si>
  <si>
    <t xml:space="preserve">E111</t>
  </si>
  <si>
    <t xml:space="preserve">Miguel Mendoza Rodríguez</t>
  </si>
  <si>
    <t xml:space="preserve">E112</t>
  </si>
  <si>
    <t xml:space="preserve">Ingrid Mendoza Jiménez</t>
  </si>
  <si>
    <t xml:space="preserve">E113</t>
  </si>
  <si>
    <t xml:space="preserve">Juan Rodríguez Castro</t>
  </si>
  <si>
    <t xml:space="preserve">E114</t>
  </si>
  <si>
    <t xml:space="preserve">Eduardo Álvarez Chamorro</t>
  </si>
  <si>
    <t xml:space="preserve">E115</t>
  </si>
  <si>
    <t xml:space="preserve">Sandra Gómez Barros</t>
  </si>
  <si>
    <t xml:space="preserve">E116</t>
  </si>
  <si>
    <t xml:space="preserve">Freddy Pérez Cárdenas</t>
  </si>
  <si>
    <t xml:space="preserve">E117</t>
  </si>
  <si>
    <t xml:space="preserve">Deisy Padilla Mendoza</t>
  </si>
  <si>
    <t xml:space="preserve">E118</t>
  </si>
  <si>
    <t xml:space="preserve">Ingrid Muñoz Ramírez</t>
  </si>
  <si>
    <t xml:space="preserve">E119</t>
  </si>
  <si>
    <t xml:space="preserve">Katherine García Martínez</t>
  </si>
  <si>
    <t xml:space="preserve">E120</t>
  </si>
  <si>
    <t xml:space="preserve">Felipe Romero Chamorro</t>
  </si>
  <si>
    <t xml:space="preserve">E121</t>
  </si>
  <si>
    <t xml:space="preserve">Felipe Suárez Chamorro</t>
  </si>
  <si>
    <t xml:space="preserve">E122</t>
  </si>
  <si>
    <t xml:space="preserve">Sergio Cervantes Redondo</t>
  </si>
  <si>
    <t xml:space="preserve">E123</t>
  </si>
  <si>
    <t xml:space="preserve">Diego García Mendoza</t>
  </si>
  <si>
    <t xml:space="preserve">E124</t>
  </si>
  <si>
    <t xml:space="preserve">Andrés Castillo Cantillo</t>
  </si>
  <si>
    <t xml:space="preserve">E125</t>
  </si>
  <si>
    <t xml:space="preserve">Deisy Romero Blanco</t>
  </si>
  <si>
    <t xml:space="preserve">E126</t>
  </si>
  <si>
    <t xml:space="preserve">Jorge Castillo Pacheco</t>
  </si>
  <si>
    <t xml:space="preserve">E127</t>
  </si>
  <si>
    <t xml:space="preserve">Juan Núñez Medina</t>
  </si>
  <si>
    <t xml:space="preserve">E128</t>
  </si>
  <si>
    <t xml:space="preserve">Tatiana Álvarez Iguarán</t>
  </si>
  <si>
    <t xml:space="preserve">E129</t>
  </si>
  <si>
    <t xml:space="preserve">Andrés López Manjarrez</t>
  </si>
  <si>
    <t xml:space="preserve">E130</t>
  </si>
  <si>
    <t xml:space="preserve">Ricardo Salcedo Rojas</t>
  </si>
  <si>
    <t xml:space="preserve">E131</t>
  </si>
  <si>
    <t xml:space="preserve">Luisa Rodríguez Ramírez</t>
  </si>
  <si>
    <t xml:space="preserve">E132</t>
  </si>
  <si>
    <t xml:space="preserve">Liliana Morales Sánchez</t>
  </si>
  <si>
    <t xml:space="preserve">E133</t>
  </si>
  <si>
    <t xml:space="preserve">Freddy Castillo Castro</t>
  </si>
  <si>
    <t xml:space="preserve">E134</t>
  </si>
  <si>
    <t xml:space="preserve">Iván Castro Salcedo</t>
  </si>
  <si>
    <t xml:space="preserve">E135</t>
  </si>
  <si>
    <t xml:space="preserve">Óscar Castro Salcedo</t>
  </si>
  <si>
    <t xml:space="preserve">E136</t>
  </si>
  <si>
    <t xml:space="preserve">Claudia García Medina</t>
  </si>
  <si>
    <t xml:space="preserve">E137</t>
  </si>
  <si>
    <t xml:space="preserve">Yolanda Vargas Medina</t>
  </si>
  <si>
    <t xml:space="preserve">Jefe de Servicio al Cliente</t>
  </si>
  <si>
    <t xml:space="preserve">Servicio al Cliente</t>
  </si>
  <si>
    <t xml:space="preserve">E138</t>
  </si>
  <si>
    <t xml:space="preserve">Luis Iguarán García</t>
  </si>
  <si>
    <t xml:space="preserve">Supervisor de Servicio al Cliente</t>
  </si>
  <si>
    <t xml:space="preserve">E139</t>
  </si>
  <si>
    <t xml:space="preserve">Milena Pacheco Torres</t>
  </si>
  <si>
    <t xml:space="preserve">E140</t>
  </si>
  <si>
    <t xml:space="preserve">Milena Morales Blanco</t>
  </si>
  <si>
    <t xml:space="preserve">Agente de Servicio al Cliente</t>
  </si>
  <si>
    <t xml:space="preserve">E141</t>
  </si>
  <si>
    <t xml:space="preserve">Yulieth Herrera Blanco</t>
  </si>
  <si>
    <t xml:space="preserve">E142</t>
  </si>
  <si>
    <t xml:space="preserve">Alejandra Polo Castillo</t>
  </si>
  <si>
    <t xml:space="preserve">E143</t>
  </si>
  <si>
    <t xml:space="preserve">Rafael Álvarez Blanco</t>
  </si>
  <si>
    <t xml:space="preserve">E144</t>
  </si>
  <si>
    <t xml:space="preserve">Kevin Ortiz Chamorro</t>
  </si>
  <si>
    <t xml:space="preserve">E145</t>
  </si>
  <si>
    <t xml:space="preserve">Sandra Ortiz Padilla</t>
  </si>
  <si>
    <t xml:space="preserve">E146</t>
  </si>
  <si>
    <t xml:space="preserve">Paola Manjarrez Gómez</t>
  </si>
  <si>
    <t xml:space="preserve">E147</t>
  </si>
  <si>
    <t xml:space="preserve">Gina Núñez Pérez</t>
  </si>
  <si>
    <t xml:space="preserve">E148</t>
  </si>
  <si>
    <t xml:space="preserve">Freddy Pérez Barros</t>
  </si>
  <si>
    <t xml:space="preserve">E149</t>
  </si>
  <si>
    <t xml:space="preserve">Claudia Pérez Gómez</t>
  </si>
  <si>
    <t xml:space="preserve">E150</t>
  </si>
  <si>
    <t xml:space="preserve">Miguel Jiménez Suárez</t>
  </si>
  <si>
    <t xml:space="preserve">E151</t>
  </si>
  <si>
    <t xml:space="preserve">Fernando Díaz Herrera</t>
  </si>
  <si>
    <t xml:space="preserve">E152</t>
  </si>
  <si>
    <t xml:space="preserve">Alejandra Padilla Rojas</t>
  </si>
  <si>
    <t xml:space="preserve">Jefe de Compras</t>
  </si>
  <si>
    <t xml:space="preserve">Compras</t>
  </si>
  <si>
    <t xml:space="preserve">E153</t>
  </si>
  <si>
    <t xml:space="preserve">Fernando Romero Rodríguez</t>
  </si>
  <si>
    <t xml:space="preserve">Analista de Compras</t>
  </si>
  <si>
    <t xml:space="preserve">E154</t>
  </si>
  <si>
    <t xml:space="preserve">Óscar Pacheco Álvarez</t>
  </si>
  <si>
    <t xml:space="preserve">E155</t>
  </si>
  <si>
    <t xml:space="preserve">Édgar Herrera Vega</t>
  </si>
  <si>
    <t xml:space="preserve">E156</t>
  </si>
  <si>
    <t xml:space="preserve">Liliana Muñoz Torres</t>
  </si>
  <si>
    <t xml:space="preserve">E157</t>
  </si>
  <si>
    <t xml:space="preserve">Julián Padilla Ortiz</t>
  </si>
  <si>
    <t xml:space="preserve">E158</t>
  </si>
  <si>
    <t xml:space="preserve">Cristian Iguarán Barros</t>
  </si>
  <si>
    <t xml:space="preserve">E159</t>
  </si>
  <si>
    <t xml:space="preserve">Viviana Iguarán Muñoz</t>
  </si>
  <si>
    <t xml:space="preserve">E160</t>
  </si>
  <si>
    <t xml:space="preserve">Cristian Escobar Suárez</t>
  </si>
  <si>
    <t xml:space="preserve">Jefe Financiero y Contable</t>
  </si>
  <si>
    <t xml:space="preserve">Finanzas y Contabilidad</t>
  </si>
  <si>
    <t xml:space="preserve">E161</t>
  </si>
  <si>
    <t xml:space="preserve">Andrés Iguarán Núñez</t>
  </si>
  <si>
    <t xml:space="preserve">Coordinador Contable/Tesorería</t>
  </si>
  <si>
    <t xml:space="preserve">E162</t>
  </si>
  <si>
    <t xml:space="preserve">Paola Torres Barros</t>
  </si>
  <si>
    <t xml:space="preserve">E163</t>
  </si>
  <si>
    <t xml:space="preserve">Juan Escobar Romero</t>
  </si>
  <si>
    <t xml:space="preserve">Analista Contable/Financiero</t>
  </si>
  <si>
    <t xml:space="preserve">E164</t>
  </si>
  <si>
    <t xml:space="preserve">Estefanía Castro Padilla</t>
  </si>
  <si>
    <t xml:space="preserve">E165</t>
  </si>
  <si>
    <t xml:space="preserve">Claudia Padilla Castillo</t>
  </si>
  <si>
    <t xml:space="preserve">E166</t>
  </si>
  <si>
    <t xml:space="preserve">Mauricio Barros Rojas</t>
  </si>
  <si>
    <t xml:space="preserve">E167</t>
  </si>
  <si>
    <t xml:space="preserve">Luis Castro Pérez</t>
  </si>
  <si>
    <t xml:space="preserve">E168</t>
  </si>
  <si>
    <t xml:space="preserve">Gina Barros Escobar</t>
  </si>
  <si>
    <t xml:space="preserve">E169</t>
  </si>
  <si>
    <t xml:space="preserve">Estefanía Núñez Mendoza</t>
  </si>
  <si>
    <t xml:space="preserve">E170</t>
  </si>
  <si>
    <t xml:space="preserve">Claudia Morales Muñoz</t>
  </si>
  <si>
    <t xml:space="preserve">E171</t>
  </si>
  <si>
    <t xml:space="preserve">Juan Herrera Sánchez</t>
  </si>
  <si>
    <t xml:space="preserve">E172</t>
  </si>
  <si>
    <t xml:space="preserve">Hernán Mendoza Romero</t>
  </si>
  <si>
    <t xml:space="preserve">Jefe de Recursos Humanos</t>
  </si>
  <si>
    <t xml:space="preserve">Recursos Humanos</t>
  </si>
  <si>
    <t xml:space="preserve">E173</t>
  </si>
  <si>
    <t xml:space="preserve">Fernando Iguarán Castillo</t>
  </si>
  <si>
    <t xml:space="preserve">Analista de Recursos Humanos</t>
  </si>
  <si>
    <t xml:space="preserve">E174</t>
  </si>
  <si>
    <t xml:space="preserve">Beatriz Torres Castillo</t>
  </si>
  <si>
    <t xml:space="preserve">E175</t>
  </si>
  <si>
    <t xml:space="preserve">Kevin Escobar Herrera</t>
  </si>
  <si>
    <t xml:space="preserve">E176</t>
  </si>
  <si>
    <t xml:space="preserve">Camilo Salcedo Redondo</t>
  </si>
  <si>
    <t xml:space="preserve">E177</t>
  </si>
  <si>
    <t xml:space="preserve">Diego Suárez Barros</t>
  </si>
  <si>
    <t xml:space="preserve">E178</t>
  </si>
  <si>
    <t xml:space="preserve">Diana Muñoz Rodríguez</t>
  </si>
  <si>
    <t xml:space="preserve">Jefe de Tecnología</t>
  </si>
  <si>
    <t xml:space="preserve">Tecnología (TI)</t>
  </si>
  <si>
    <t xml:space="preserve">E179</t>
  </si>
  <si>
    <t xml:space="preserve">Carolina Vega García</t>
  </si>
  <si>
    <t xml:space="preserve">Analista de Soporte TI</t>
  </si>
  <si>
    <t xml:space="preserve">E180</t>
  </si>
  <si>
    <t xml:space="preserve">Natalia Jiménez Blanco</t>
  </si>
  <si>
    <t xml:space="preserve">E181</t>
  </si>
  <si>
    <t xml:space="preserve">Ricardo Polo García</t>
  </si>
  <si>
    <t xml:space="preserve">E182</t>
  </si>
  <si>
    <t xml:space="preserve">Adriana Muñoz Escobar</t>
  </si>
  <si>
    <t xml:space="preserve">E183</t>
  </si>
  <si>
    <t xml:space="preserve">Juan Gómez Morales</t>
  </si>
  <si>
    <t xml:space="preserve">E184</t>
  </si>
  <si>
    <t xml:space="preserve">Édgar Rojas Redondo</t>
  </si>
  <si>
    <t xml:space="preserve">Jefe de Mercadeo</t>
  </si>
  <si>
    <t xml:space="preserve">Mercadeo</t>
  </si>
  <si>
    <t xml:space="preserve">E185</t>
  </si>
  <si>
    <t xml:space="preserve">Tatiana Gómez Morales</t>
  </si>
  <si>
    <t xml:space="preserve">Analista de Mercadeo</t>
  </si>
  <si>
    <t xml:space="preserve">E186</t>
  </si>
  <si>
    <t xml:space="preserve">Eduardo Díaz Barros</t>
  </si>
  <si>
    <t xml:space="preserve">E187</t>
  </si>
  <si>
    <t xml:space="preserve">Ricardo Padilla Polo</t>
  </si>
  <si>
    <t xml:space="preserve">Nota: esta es la primera vez que se genera la nómina/organigrama de Andina Foods S.A.S. (187 empleados, 10 departamentos); queda como referencia para archivos futuros. Salario Base es un supuesto por nivel jerárquico (simulación para demo/analítica), no datos reales de nómina. Puntaje Promedio = AVERAGE(6 competencias). Calificación General = Puntaje Promedio redondeado, mapeado a la escala 1-5 (Deficiente/Bajo/Satisfactorio/Bueno/Excelente). Bono Anual % = escala lineal de 0% (puntaje ≤3) a 20% (puntaje=5). Bono Anual (COP) = Salario Base Mensual × 12 × Bono Anual %.</t>
  </si>
  <si>
    <t xml:space="preserve">Resumen — Evaluaciones de Desempeño 2025 (Andina Foods S.A.S.)</t>
  </si>
  <si>
    <t xml:space="preserve">Total empleados evaluados</t>
  </si>
  <si>
    <t xml:space="preserve">Excelente (# empleados)</t>
  </si>
  <si>
    <t xml:space="preserve">Bueno (# empleados)</t>
  </si>
  <si>
    <t xml:space="preserve">Satisfactorio (# empleados)</t>
  </si>
  <si>
    <t xml:space="preserve">Bajo (# empleados)</t>
  </si>
  <si>
    <t xml:space="preserve">Deficiente (# empleados)</t>
  </si>
  <si>
    <t xml:space="preserve">% Bueno + Excelente</t>
  </si>
  <si>
    <t xml:space="preserve">% Satisfactorio</t>
  </si>
  <si>
    <t xml:space="preserve">% Bajo + Deficiente</t>
  </si>
  <si>
    <t xml:space="preserve">Puntaje promedio general</t>
  </si>
  <si>
    <t xml:space="preserve">Puntaje promedio — Gerencia/Jefaturas</t>
  </si>
  <si>
    <t xml:space="preserve">Empleados con recomendación Ascenso</t>
  </si>
  <si>
    <t xml:space="preserve">Empleados con recomendación Mantener</t>
  </si>
  <si>
    <t xml:space="preserve">Empleados con recomendación Capacitación</t>
  </si>
  <si>
    <t xml:space="preserve">Empleados con recomendación PIP</t>
  </si>
  <si>
    <t xml:space="preserve">Costo total de bonos 2025 (COP)</t>
  </si>
  <si>
    <t xml:space="preserve">Bono promedio por empleado (COP)</t>
  </si>
  <si>
    <t xml:space="preserve">Top 10 Mejores Empleados (Puntaje Promedio)</t>
  </si>
  <si>
    <t xml:space="preserve">ID</t>
  </si>
  <si>
    <t xml:space="preserve">Puntaje</t>
  </si>
  <si>
    <t xml:space="preserve">Empleados con Recomendación Capacitación o PIP</t>
  </si>
  <si>
    <t xml:space="preserve">Nota: datos simulados con fines de demostración / analítica del programa Master IA Local. No corresponden a evaluaciones reales de empleados de Andina Foods S.A.S.</t>
  </si>
</sst>
</file>

<file path=xl/styles.xml><?xml version="1.0" encoding="utf-8"?>
<styleSheet xmlns="http://schemas.openxmlformats.org/spreadsheetml/2006/main">
  <numFmts count="6">
    <numFmt numFmtId="164" formatCode="General"/>
    <numFmt numFmtId="165" formatCode="dd/mm/yyyy"/>
    <numFmt numFmtId="166" formatCode="\$#,##0"/>
    <numFmt numFmtId="167" formatCode="0"/>
    <numFmt numFmtId="168" formatCode="0.00"/>
    <numFmt numFmtId="169" formatCode="0.0%"/>
  </numFmts>
  <fonts count="13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FFFFFF"/>
      <name val="Arial"/>
      <family val="0"/>
      <charset val="1"/>
    </font>
    <font>
      <sz val="11"/>
      <color rgb="FF000000"/>
      <name val="Arial"/>
      <family val="0"/>
      <charset val="1"/>
    </font>
    <font>
      <sz val="11"/>
      <color rgb="FF0000FF"/>
      <name val="Arial"/>
      <family val="0"/>
      <charset val="1"/>
    </font>
    <font>
      <i val="true"/>
      <sz val="9"/>
      <color rgb="FF808080"/>
      <name val="Arial"/>
      <family val="0"/>
      <charset val="1"/>
    </font>
    <font>
      <b val="true"/>
      <sz val="13"/>
      <color rgb="FF1F4E78"/>
      <name val="Arial"/>
      <family val="0"/>
      <charset val="1"/>
    </font>
    <font>
      <sz val="10"/>
      <name val="Arial"/>
      <family val="0"/>
      <charset val="1"/>
    </font>
    <font>
      <b val="true"/>
      <sz val="10"/>
      <name val="Arial"/>
      <family val="0"/>
      <charset val="1"/>
    </font>
    <font>
      <b val="true"/>
      <sz val="11"/>
      <color rgb="FF1F4E78"/>
      <name val="Arial"/>
      <family val="0"/>
      <charset val="1"/>
    </font>
    <font>
      <b val="true"/>
      <sz val="10"/>
      <color rgb="FFFFFFFF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5" fontId="5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6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6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8" fontId="5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9" fontId="5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5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left" vertical="bottom" textRotation="0" wrapText="tru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2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15">
    <dxf>
      <fill>
        <patternFill patternType="solid">
          <fgColor rgb="FF1F4E78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0000FF"/>
          <bgColor rgb="FF000000"/>
        </patternFill>
      </fill>
    </dxf>
    <dxf>
      <fill>
        <patternFill patternType="solid">
          <fgColor rgb="FFBDD7EE"/>
          <bgColor rgb="FF000000"/>
        </patternFill>
      </fill>
    </dxf>
    <dxf>
      <fill>
        <patternFill patternType="solid">
          <fgColor rgb="FFC6E0B4"/>
          <bgColor rgb="FF000000"/>
        </patternFill>
      </fill>
    </dxf>
    <dxf>
      <fill>
        <patternFill patternType="solid">
          <fgColor rgb="FFF8CBAD"/>
          <bgColor rgb="FF000000"/>
        </patternFill>
      </fill>
    </dxf>
    <dxf>
      <fill>
        <patternFill patternType="solid">
          <fgColor rgb="FFFCE4D6"/>
          <bgColor rgb="FF000000"/>
        </patternFill>
      </fill>
    </dxf>
    <dxf>
      <fill>
        <patternFill patternType="solid">
          <fgColor rgb="FFFFE699"/>
          <bgColor rgb="FF000000"/>
        </patternFill>
      </fill>
    </dxf>
    <dxf>
      <fill>
        <patternFill>
          <bgColor rgb="FFF8CBAD"/>
        </patternFill>
      </fill>
    </dxf>
    <dxf>
      <fill>
        <patternFill>
          <bgColor rgb="FFFCE4D6"/>
        </patternFill>
      </fill>
    </dxf>
    <dxf>
      <fill>
        <patternFill>
          <bgColor rgb="FFFFE699"/>
        </patternFill>
      </fill>
    </dxf>
    <dxf>
      <fill>
        <patternFill>
          <bgColor rgb="FFC6E0B4"/>
        </patternFill>
      </fill>
    </dxf>
    <dxf>
      <fill>
        <patternFill>
          <bgColor rgb="FFBDD7EE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7B7B7"/>
      <rgbColor rgb="FF808080"/>
      <rgbColor rgb="FF9999FF"/>
      <rgbColor rgb="FF993366"/>
      <rgbColor rgb="FFFCE4D6"/>
      <rgbColor rgb="FFCCFFFF"/>
      <rgbColor rgb="FF660066"/>
      <rgbColor rgb="FFFF8080"/>
      <rgbColor rgb="FF0066CC"/>
      <rgbColor rgb="FFBDD7EE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0B4"/>
      <rgbColor rgb="FFFFE699"/>
      <rgbColor rgb="FF99CCFF"/>
      <rgbColor rgb="FFFF99CC"/>
      <rgbColor rgb="FFCC99FF"/>
      <rgbColor rgb="FFF8CBAD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ables/table1.xml><?xml version="1.0" encoding="utf-8"?>
<table xmlns="http://schemas.openxmlformats.org/spreadsheetml/2006/main" id="1" name="EvaluacionesAndina" displayName="EvaluacionesAndina" ref="A1:S188" headerRowCount="1" totalsRowCount="0" totalsRowShown="0">
  <autoFilter ref="A1:S188"/>
  <tableColumns count="19">
    <tableColumn id="1" name="ID Empleado"/>
    <tableColumn id="2" name="Nombre"/>
    <tableColumn id="3" name="Cargo"/>
    <tableColumn id="4" name="Departamento"/>
    <tableColumn id="5" name="Evaluador (Jefe Directo)"/>
    <tableColumn id="6" name="Fecha Evaluación"/>
    <tableColumn id="7" name="Salario Base Mensual (COP)"/>
    <tableColumn id="8" name="Cumplimiento de Objetivos"/>
    <tableColumn id="9" name="Calidad del Trabajo"/>
    <tableColumn id="10" name="Puntualidad/Asistencia"/>
    <tableColumn id="11" name="Trabajo en Equipo"/>
    <tableColumn id="12" name="Innovación"/>
    <tableColumn id="13" name="Atención al Cliente"/>
    <tableColumn id="14" name="Puntaje Promedio"/>
    <tableColumn id="15" name="Calificación General"/>
    <tableColumn id="16" name="Bono Anual %"/>
    <tableColumn id="17" name="Bono Anual (COP)"/>
    <tableColumn id="18" name="Comentarios"/>
    <tableColumn id="19" name="Recomendación"/>
  </tableColumns>
</table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table" Target="../tables/table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S19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26"/>
    <col collapsed="false" customWidth="true" hidden="false" outlineLevel="0" max="3" min="3" style="0" width="30"/>
    <col collapsed="false" customWidth="true" hidden="false" outlineLevel="0" max="4" min="4" style="0" width="24"/>
    <col collapsed="false" customWidth="true" hidden="false" outlineLevel="0" max="5" min="5" style="0" width="26"/>
    <col collapsed="false" customWidth="true" hidden="false" outlineLevel="0" max="6" min="6" style="0" width="14"/>
    <col collapsed="false" customWidth="true" hidden="false" outlineLevel="0" max="7" min="7" style="0" width="18"/>
    <col collapsed="false" customWidth="true" hidden="false" outlineLevel="0" max="8" min="8" style="0" width="14"/>
    <col collapsed="false" customWidth="true" hidden="false" outlineLevel="0" max="9" min="9" style="0" width="13"/>
    <col collapsed="false" customWidth="true" hidden="false" outlineLevel="0" max="10" min="10" style="0" width="14"/>
    <col collapsed="false" customWidth="true" hidden="false" outlineLevel="0" max="11" min="11" style="0" width="13"/>
    <col collapsed="false" customWidth="true" hidden="false" outlineLevel="0" max="12" min="12" style="0" width="12"/>
    <col collapsed="false" customWidth="true" hidden="false" outlineLevel="0" max="13" min="13" style="0" width="14"/>
    <col collapsed="false" customWidth="true" hidden="false" outlineLevel="0" max="14" min="14" style="0" width="12"/>
    <col collapsed="false" customWidth="true" hidden="false" outlineLevel="0" max="15" min="15" style="0" width="15"/>
    <col collapsed="false" customWidth="true" hidden="false" outlineLevel="0" max="16" min="16" style="0" width="11"/>
    <col collapsed="false" customWidth="true" hidden="false" outlineLevel="0" max="17" min="17" style="0" width="16"/>
    <col collapsed="false" customWidth="true" hidden="false" outlineLevel="0" max="18" min="18" style="0" width="40"/>
    <col collapsed="false" customWidth="true" hidden="false" outlineLevel="0" max="19" min="19" style="0" width="14"/>
  </cols>
  <sheetData>
    <row r="1" customFormat="false" ht="45" hidden="false" customHeight="tru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customFormat="false" ht="26.85" hidden="false" customHeight="false" outlineLevel="0" collapsed="false">
      <c r="A2" s="2" t="s">
        <v>19</v>
      </c>
      <c r="B2" s="3" t="s">
        <v>20</v>
      </c>
      <c r="C2" s="3" t="s">
        <v>21</v>
      </c>
      <c r="D2" s="3" t="s">
        <v>22</v>
      </c>
      <c r="E2" s="3" t="s">
        <v>23</v>
      </c>
      <c r="F2" s="4" t="n">
        <v>45797</v>
      </c>
      <c r="G2" s="5" t="n">
        <v>16230000</v>
      </c>
      <c r="H2" s="6" t="n">
        <v>4</v>
      </c>
      <c r="I2" s="6" t="n">
        <v>4</v>
      </c>
      <c r="J2" s="6" t="n">
        <v>4</v>
      </c>
      <c r="K2" s="6" t="n">
        <v>4</v>
      </c>
      <c r="L2" s="6" t="n">
        <v>4</v>
      </c>
      <c r="M2" s="6" t="n">
        <v>4</v>
      </c>
      <c r="N2" s="7" t="n">
        <f aca="false">AVERAGE(H2:M2)</f>
        <v>4</v>
      </c>
      <c r="O2" s="2" t="str">
        <f aca="false">IF(ROUND(N2,0)&lt;=1,"Deficiente",IF(ROUND(N2,0)=2,"Bajo",IF(ROUND(N2,0)=3,"Satisfactorio",IF(ROUND(N2,0)=4,"Bueno","Excelente"))))</f>
        <v>Bueno</v>
      </c>
      <c r="P2" s="8" t="n">
        <f aca="false">MAX(0,MIN(0.2,(N2-3)/2*0.2))</f>
        <v>0.1</v>
      </c>
      <c r="Q2" s="9" t="n">
        <f aca="false">G2*12*P2</f>
        <v>19476000</v>
      </c>
      <c r="R2" s="10" t="s">
        <v>24</v>
      </c>
      <c r="S2" s="2" t="s">
        <v>25</v>
      </c>
    </row>
    <row r="3" customFormat="false" ht="26.85" hidden="false" customHeight="false" outlineLevel="0" collapsed="false">
      <c r="A3" s="2" t="s">
        <v>26</v>
      </c>
      <c r="B3" s="3" t="s">
        <v>27</v>
      </c>
      <c r="C3" s="3" t="s">
        <v>28</v>
      </c>
      <c r="D3" s="3" t="s">
        <v>29</v>
      </c>
      <c r="E3" s="3" t="s">
        <v>20</v>
      </c>
      <c r="F3" s="4" t="n">
        <v>45722</v>
      </c>
      <c r="G3" s="5" t="n">
        <v>8390000</v>
      </c>
      <c r="H3" s="6" t="n">
        <v>5</v>
      </c>
      <c r="I3" s="6" t="n">
        <v>5</v>
      </c>
      <c r="J3" s="6" t="n">
        <v>5</v>
      </c>
      <c r="K3" s="6" t="n">
        <v>5</v>
      </c>
      <c r="L3" s="6" t="n">
        <v>5</v>
      </c>
      <c r="M3" s="6" t="n">
        <v>5</v>
      </c>
      <c r="N3" s="7" t="n">
        <f aca="false">AVERAGE(H3:M3)</f>
        <v>5</v>
      </c>
      <c r="O3" s="2" t="str">
        <f aca="false">IF(ROUND(N3,0)&lt;=1,"Deficiente",IF(ROUND(N3,0)=2,"Bajo",IF(ROUND(N3,0)=3,"Satisfactorio",IF(ROUND(N3,0)=4,"Bueno","Excelente"))))</f>
        <v>Excelente</v>
      </c>
      <c r="P3" s="8" t="n">
        <f aca="false">MAX(0,MIN(0.2,(N3-3)/2*0.2))</f>
        <v>0.2</v>
      </c>
      <c r="Q3" s="9" t="n">
        <f aca="false">G3*12*P3</f>
        <v>20136000</v>
      </c>
      <c r="R3" s="10" t="s">
        <v>30</v>
      </c>
      <c r="S3" s="2" t="s">
        <v>31</v>
      </c>
    </row>
    <row r="4" customFormat="false" ht="26.85" hidden="false" customHeight="false" outlineLevel="0" collapsed="false">
      <c r="A4" s="2" t="s">
        <v>32</v>
      </c>
      <c r="B4" s="3" t="s">
        <v>33</v>
      </c>
      <c r="C4" s="3" t="s">
        <v>34</v>
      </c>
      <c r="D4" s="3" t="s">
        <v>29</v>
      </c>
      <c r="E4" s="3" t="s">
        <v>28</v>
      </c>
      <c r="F4" s="4" t="n">
        <v>45888</v>
      </c>
      <c r="G4" s="5" t="n">
        <v>4000000</v>
      </c>
      <c r="H4" s="6" t="n">
        <v>4</v>
      </c>
      <c r="I4" s="6" t="n">
        <v>4</v>
      </c>
      <c r="J4" s="6" t="n">
        <v>4</v>
      </c>
      <c r="K4" s="6" t="n">
        <v>5</v>
      </c>
      <c r="L4" s="6" t="n">
        <v>3</v>
      </c>
      <c r="M4" s="6" t="n">
        <v>3</v>
      </c>
      <c r="N4" s="7" t="n">
        <f aca="false">AVERAGE(H4:M4)</f>
        <v>3.83333333333333</v>
      </c>
      <c r="O4" s="2" t="str">
        <f aca="false">IF(ROUND(N4,0)&lt;=1,"Deficiente",IF(ROUND(N4,0)=2,"Bajo",IF(ROUND(N4,0)=3,"Satisfactorio",IF(ROUND(N4,0)=4,"Bueno","Excelente"))))</f>
        <v>Bueno</v>
      </c>
      <c r="P4" s="8" t="n">
        <f aca="false">MAX(0,MIN(0.2,(N4-3)/2*0.2))</f>
        <v>0.0833333333333334</v>
      </c>
      <c r="Q4" s="9" t="n">
        <f aca="false">G4*12*P4</f>
        <v>4000000</v>
      </c>
      <c r="R4" s="10" t="s">
        <v>35</v>
      </c>
      <c r="S4" s="2" t="s">
        <v>31</v>
      </c>
    </row>
    <row r="5" customFormat="false" ht="26.85" hidden="false" customHeight="false" outlineLevel="0" collapsed="false">
      <c r="A5" s="2" t="s">
        <v>36</v>
      </c>
      <c r="B5" s="3" t="s">
        <v>37</v>
      </c>
      <c r="C5" s="3" t="s">
        <v>34</v>
      </c>
      <c r="D5" s="3" t="s">
        <v>29</v>
      </c>
      <c r="E5" s="3" t="s">
        <v>28</v>
      </c>
      <c r="F5" s="4" t="n">
        <v>45805</v>
      </c>
      <c r="G5" s="5" t="n">
        <v>4050000</v>
      </c>
      <c r="H5" s="6" t="n">
        <v>4</v>
      </c>
      <c r="I5" s="6" t="n">
        <v>4</v>
      </c>
      <c r="J5" s="6" t="n">
        <v>4</v>
      </c>
      <c r="K5" s="6" t="n">
        <v>3</v>
      </c>
      <c r="L5" s="6" t="n">
        <v>4</v>
      </c>
      <c r="M5" s="6" t="n">
        <v>5</v>
      </c>
      <c r="N5" s="7" t="n">
        <f aca="false">AVERAGE(H5:M5)</f>
        <v>4</v>
      </c>
      <c r="O5" s="2" t="str">
        <f aca="false">IF(ROUND(N5,0)&lt;=1,"Deficiente",IF(ROUND(N5,0)=2,"Bajo",IF(ROUND(N5,0)=3,"Satisfactorio",IF(ROUND(N5,0)=4,"Bueno","Excelente"))))</f>
        <v>Bueno</v>
      </c>
      <c r="P5" s="8" t="n">
        <f aca="false">MAX(0,MIN(0.2,(N5-3)/2*0.2))</f>
        <v>0.1</v>
      </c>
      <c r="Q5" s="9" t="n">
        <f aca="false">G5*12*P5</f>
        <v>4860000</v>
      </c>
      <c r="R5" s="10" t="s">
        <v>24</v>
      </c>
      <c r="S5" s="2" t="s">
        <v>31</v>
      </c>
    </row>
    <row r="6" customFormat="false" ht="26.85" hidden="false" customHeight="false" outlineLevel="0" collapsed="false">
      <c r="A6" s="2" t="s">
        <v>38</v>
      </c>
      <c r="B6" s="3" t="s">
        <v>39</v>
      </c>
      <c r="C6" s="3" t="s">
        <v>34</v>
      </c>
      <c r="D6" s="3" t="s">
        <v>29</v>
      </c>
      <c r="E6" s="3" t="s">
        <v>28</v>
      </c>
      <c r="F6" s="4" t="n">
        <v>45812</v>
      </c>
      <c r="G6" s="5" t="n">
        <v>4580000</v>
      </c>
      <c r="H6" s="6" t="n">
        <v>4</v>
      </c>
      <c r="I6" s="6" t="n">
        <v>4</v>
      </c>
      <c r="J6" s="6" t="n">
        <v>4</v>
      </c>
      <c r="K6" s="6" t="n">
        <v>4</v>
      </c>
      <c r="L6" s="6" t="n">
        <v>4</v>
      </c>
      <c r="M6" s="6" t="n">
        <v>4</v>
      </c>
      <c r="N6" s="7" t="n">
        <f aca="false">AVERAGE(H6:M6)</f>
        <v>4</v>
      </c>
      <c r="O6" s="2" t="str">
        <f aca="false">IF(ROUND(N6,0)&lt;=1,"Deficiente",IF(ROUND(N6,0)=2,"Bajo",IF(ROUND(N6,0)=3,"Satisfactorio",IF(ROUND(N6,0)=4,"Bueno","Excelente"))))</f>
        <v>Bueno</v>
      </c>
      <c r="P6" s="8" t="n">
        <f aca="false">MAX(0,MIN(0.2,(N6-3)/2*0.2))</f>
        <v>0.1</v>
      </c>
      <c r="Q6" s="9" t="n">
        <f aca="false">G6*12*P6</f>
        <v>5496000</v>
      </c>
      <c r="R6" s="10" t="s">
        <v>35</v>
      </c>
      <c r="S6" s="2" t="s">
        <v>31</v>
      </c>
    </row>
    <row r="7" customFormat="false" ht="26.85" hidden="false" customHeight="false" outlineLevel="0" collapsed="false">
      <c r="A7" s="2" t="s">
        <v>40</v>
      </c>
      <c r="B7" s="3" t="s">
        <v>41</v>
      </c>
      <c r="C7" s="3" t="s">
        <v>34</v>
      </c>
      <c r="D7" s="3" t="s">
        <v>29</v>
      </c>
      <c r="E7" s="3" t="s">
        <v>28</v>
      </c>
      <c r="F7" s="4" t="n">
        <v>45829</v>
      </c>
      <c r="G7" s="5" t="n">
        <v>3590000</v>
      </c>
      <c r="H7" s="6" t="n">
        <v>5</v>
      </c>
      <c r="I7" s="6" t="n">
        <v>5</v>
      </c>
      <c r="J7" s="6" t="n">
        <v>4</v>
      </c>
      <c r="K7" s="6" t="n">
        <v>5</v>
      </c>
      <c r="L7" s="6" t="n">
        <v>4</v>
      </c>
      <c r="M7" s="6" t="n">
        <v>5</v>
      </c>
      <c r="N7" s="7" t="n">
        <f aca="false">AVERAGE(H7:M7)</f>
        <v>4.66666666666667</v>
      </c>
      <c r="O7" s="2" t="str">
        <f aca="false">IF(ROUND(N7,0)&lt;=1,"Deficiente",IF(ROUND(N7,0)=2,"Bajo",IF(ROUND(N7,0)=3,"Satisfactorio",IF(ROUND(N7,0)=4,"Bueno","Excelente"))))</f>
        <v>Excelente</v>
      </c>
      <c r="P7" s="8" t="n">
        <f aca="false">MAX(0,MIN(0.2,(N7-3)/2*0.2))</f>
        <v>0.166666666666667</v>
      </c>
      <c r="Q7" s="9" t="n">
        <f aca="false">G7*12*P7</f>
        <v>7180000</v>
      </c>
      <c r="R7" s="10" t="s">
        <v>30</v>
      </c>
      <c r="S7" s="2" t="s">
        <v>31</v>
      </c>
    </row>
    <row r="8" customFormat="false" ht="39.55" hidden="false" customHeight="false" outlineLevel="0" collapsed="false">
      <c r="A8" s="2" t="s">
        <v>42</v>
      </c>
      <c r="B8" s="3" t="s">
        <v>43</v>
      </c>
      <c r="C8" s="3" t="s">
        <v>44</v>
      </c>
      <c r="D8" s="3" t="s">
        <v>29</v>
      </c>
      <c r="E8" s="3" t="s">
        <v>33</v>
      </c>
      <c r="F8" s="4" t="n">
        <v>45891</v>
      </c>
      <c r="G8" s="5" t="n">
        <v>2310000</v>
      </c>
      <c r="H8" s="6" t="n">
        <v>3</v>
      </c>
      <c r="I8" s="6" t="n">
        <v>2</v>
      </c>
      <c r="J8" s="6" t="n">
        <v>3</v>
      </c>
      <c r="K8" s="6" t="n">
        <v>4</v>
      </c>
      <c r="L8" s="6" t="n">
        <v>3</v>
      </c>
      <c r="M8" s="6" t="n">
        <v>3</v>
      </c>
      <c r="N8" s="7" t="n">
        <f aca="false">AVERAGE(H8:M8)</f>
        <v>3</v>
      </c>
      <c r="O8" s="2" t="str">
        <f aca="false">IF(ROUND(N8,0)&lt;=1,"Deficiente",IF(ROUND(N8,0)=2,"Bajo",IF(ROUND(N8,0)=3,"Satisfactorio",IF(ROUND(N8,0)=4,"Bueno","Excelente"))))</f>
        <v>Satisfactorio</v>
      </c>
      <c r="P8" s="8" t="n">
        <f aca="false">MAX(0,MIN(0.2,(N8-3)/2*0.2))</f>
        <v>0</v>
      </c>
      <c r="Q8" s="9" t="n">
        <f aca="false">G8*12*P8</f>
        <v>0</v>
      </c>
      <c r="R8" s="10" t="s">
        <v>45</v>
      </c>
      <c r="S8" s="2" t="s">
        <v>31</v>
      </c>
    </row>
    <row r="9" customFormat="false" ht="26.85" hidden="false" customHeight="false" outlineLevel="0" collapsed="false">
      <c r="A9" s="2" t="s">
        <v>46</v>
      </c>
      <c r="B9" s="3" t="s">
        <v>47</v>
      </c>
      <c r="C9" s="3" t="s">
        <v>44</v>
      </c>
      <c r="D9" s="3" t="s">
        <v>29</v>
      </c>
      <c r="E9" s="3" t="s">
        <v>37</v>
      </c>
      <c r="F9" s="4" t="n">
        <v>45803</v>
      </c>
      <c r="G9" s="5" t="n">
        <v>1560000</v>
      </c>
      <c r="H9" s="6" t="n">
        <v>4</v>
      </c>
      <c r="I9" s="6" t="n">
        <v>4</v>
      </c>
      <c r="J9" s="6" t="n">
        <v>4</v>
      </c>
      <c r="K9" s="6" t="n">
        <v>3</v>
      </c>
      <c r="L9" s="6" t="n">
        <v>4</v>
      </c>
      <c r="M9" s="6" t="n">
        <v>4</v>
      </c>
      <c r="N9" s="7" t="n">
        <f aca="false">AVERAGE(H9:M9)</f>
        <v>3.83333333333333</v>
      </c>
      <c r="O9" s="2" t="str">
        <f aca="false">IF(ROUND(N9,0)&lt;=1,"Deficiente",IF(ROUND(N9,0)=2,"Bajo",IF(ROUND(N9,0)=3,"Satisfactorio",IF(ROUND(N9,0)=4,"Bueno","Excelente"))))</f>
        <v>Bueno</v>
      </c>
      <c r="P9" s="8" t="n">
        <f aca="false">MAX(0,MIN(0.2,(N9-3)/2*0.2))</f>
        <v>0.0833333333333334</v>
      </c>
      <c r="Q9" s="9" t="n">
        <f aca="false">G9*12*P9</f>
        <v>1560000</v>
      </c>
      <c r="R9" s="10" t="s">
        <v>35</v>
      </c>
      <c r="S9" s="2" t="s">
        <v>31</v>
      </c>
    </row>
    <row r="10" customFormat="false" ht="26.85" hidden="false" customHeight="false" outlineLevel="0" collapsed="false">
      <c r="A10" s="2" t="s">
        <v>48</v>
      </c>
      <c r="B10" s="3" t="s">
        <v>49</v>
      </c>
      <c r="C10" s="3" t="s">
        <v>44</v>
      </c>
      <c r="D10" s="3" t="s">
        <v>29</v>
      </c>
      <c r="E10" s="3" t="s">
        <v>39</v>
      </c>
      <c r="F10" s="4" t="n">
        <v>45732</v>
      </c>
      <c r="G10" s="5" t="n">
        <v>1580000</v>
      </c>
      <c r="H10" s="6" t="n">
        <v>4</v>
      </c>
      <c r="I10" s="6" t="n">
        <v>3</v>
      </c>
      <c r="J10" s="6" t="n">
        <v>3</v>
      </c>
      <c r="K10" s="6" t="n">
        <v>2</v>
      </c>
      <c r="L10" s="6" t="n">
        <v>3</v>
      </c>
      <c r="M10" s="6" t="n">
        <v>3</v>
      </c>
      <c r="N10" s="7" t="n">
        <f aca="false">AVERAGE(H10:M10)</f>
        <v>3</v>
      </c>
      <c r="O10" s="2" t="str">
        <f aca="false">IF(ROUND(N10,0)&lt;=1,"Deficiente",IF(ROUND(N10,0)=2,"Bajo",IF(ROUND(N10,0)=3,"Satisfactorio",IF(ROUND(N10,0)=4,"Bueno","Excelente"))))</f>
        <v>Satisfactorio</v>
      </c>
      <c r="P10" s="8" t="n">
        <f aca="false">MAX(0,MIN(0.2,(N10-3)/2*0.2))</f>
        <v>0</v>
      </c>
      <c r="Q10" s="9" t="n">
        <f aca="false">G10*12*P10</f>
        <v>0</v>
      </c>
      <c r="R10" s="10" t="s">
        <v>50</v>
      </c>
      <c r="S10" s="2" t="s">
        <v>51</v>
      </c>
    </row>
    <row r="11" customFormat="false" ht="26.85" hidden="false" customHeight="false" outlineLevel="0" collapsed="false">
      <c r="A11" s="2" t="s">
        <v>52</v>
      </c>
      <c r="B11" s="3" t="s">
        <v>53</v>
      </c>
      <c r="C11" s="3" t="s">
        <v>44</v>
      </c>
      <c r="D11" s="3" t="s">
        <v>29</v>
      </c>
      <c r="E11" s="3" t="s">
        <v>41</v>
      </c>
      <c r="F11" s="4" t="n">
        <v>45700</v>
      </c>
      <c r="G11" s="5" t="n">
        <v>1460000</v>
      </c>
      <c r="H11" s="6" t="n">
        <v>4</v>
      </c>
      <c r="I11" s="6" t="n">
        <v>5</v>
      </c>
      <c r="J11" s="6" t="n">
        <v>5</v>
      </c>
      <c r="K11" s="6" t="n">
        <v>5</v>
      </c>
      <c r="L11" s="6" t="n">
        <v>5</v>
      </c>
      <c r="M11" s="6" t="n">
        <v>4</v>
      </c>
      <c r="N11" s="7" t="n">
        <f aca="false">AVERAGE(H11:M11)</f>
        <v>4.66666666666667</v>
      </c>
      <c r="O11" s="2" t="str">
        <f aca="false">IF(ROUND(N11,0)&lt;=1,"Deficiente",IF(ROUND(N11,0)=2,"Bajo",IF(ROUND(N11,0)=3,"Satisfactorio",IF(ROUND(N11,0)=4,"Bueno","Excelente"))))</f>
        <v>Excelente</v>
      </c>
      <c r="P11" s="8" t="n">
        <f aca="false">MAX(0,MIN(0.2,(N11-3)/2*0.2))</f>
        <v>0.166666666666667</v>
      </c>
      <c r="Q11" s="9" t="n">
        <f aca="false">G11*12*P11</f>
        <v>2920000</v>
      </c>
      <c r="R11" s="10" t="s">
        <v>30</v>
      </c>
      <c r="S11" s="2" t="s">
        <v>31</v>
      </c>
    </row>
    <row r="12" customFormat="false" ht="39.55" hidden="false" customHeight="false" outlineLevel="0" collapsed="false">
      <c r="A12" s="2" t="s">
        <v>54</v>
      </c>
      <c r="B12" s="3" t="s">
        <v>55</v>
      </c>
      <c r="C12" s="3" t="s">
        <v>44</v>
      </c>
      <c r="D12" s="3" t="s">
        <v>29</v>
      </c>
      <c r="E12" s="3" t="s">
        <v>33</v>
      </c>
      <c r="F12" s="4" t="n">
        <v>45882</v>
      </c>
      <c r="G12" s="5" t="n">
        <v>2440000</v>
      </c>
      <c r="H12" s="6" t="n">
        <v>2</v>
      </c>
      <c r="I12" s="6" t="n">
        <v>2</v>
      </c>
      <c r="J12" s="6" t="n">
        <v>2</v>
      </c>
      <c r="K12" s="6" t="n">
        <v>1</v>
      </c>
      <c r="L12" s="6" t="n">
        <v>1</v>
      </c>
      <c r="M12" s="6" t="n">
        <v>1</v>
      </c>
      <c r="N12" s="7" t="n">
        <f aca="false">AVERAGE(H12:M12)</f>
        <v>1.5</v>
      </c>
      <c r="O12" s="2" t="str">
        <f aca="false">IF(ROUND(N12,0)&lt;=1,"Deficiente",IF(ROUND(N12,0)=2,"Bajo",IF(ROUND(N12,0)=3,"Satisfactorio",IF(ROUND(N12,0)=4,"Bueno","Excelente"))))</f>
        <v>Bajo</v>
      </c>
      <c r="P12" s="8" t="n">
        <f aca="false">MAX(0,MIN(0.2,(N12-3)/2*0.2))</f>
        <v>0</v>
      </c>
      <c r="Q12" s="9" t="n">
        <f aca="false">G12*12*P12</f>
        <v>0</v>
      </c>
      <c r="R12" s="10" t="s">
        <v>56</v>
      </c>
      <c r="S12" s="2" t="s">
        <v>57</v>
      </c>
    </row>
    <row r="13" customFormat="false" ht="26.85" hidden="false" customHeight="false" outlineLevel="0" collapsed="false">
      <c r="A13" s="2" t="s">
        <v>58</v>
      </c>
      <c r="B13" s="3" t="s">
        <v>59</v>
      </c>
      <c r="C13" s="3" t="s">
        <v>44</v>
      </c>
      <c r="D13" s="3" t="s">
        <v>29</v>
      </c>
      <c r="E13" s="3" t="s">
        <v>37</v>
      </c>
      <c r="F13" s="4" t="n">
        <v>45667</v>
      </c>
      <c r="G13" s="5" t="n">
        <v>1520000</v>
      </c>
      <c r="H13" s="6" t="n">
        <v>4</v>
      </c>
      <c r="I13" s="6" t="n">
        <v>4</v>
      </c>
      <c r="J13" s="6" t="n">
        <v>4</v>
      </c>
      <c r="K13" s="6" t="n">
        <v>4</v>
      </c>
      <c r="L13" s="6" t="n">
        <v>5</v>
      </c>
      <c r="M13" s="6" t="n">
        <v>4</v>
      </c>
      <c r="N13" s="7" t="n">
        <f aca="false">AVERAGE(H13:M13)</f>
        <v>4.16666666666667</v>
      </c>
      <c r="O13" s="2" t="str">
        <f aca="false">IF(ROUND(N13,0)&lt;=1,"Deficiente",IF(ROUND(N13,0)=2,"Bajo",IF(ROUND(N13,0)=3,"Satisfactorio",IF(ROUND(N13,0)=4,"Bueno","Excelente"))))</f>
        <v>Bueno</v>
      </c>
      <c r="P13" s="8" t="n">
        <f aca="false">MAX(0,MIN(0.2,(N13-3)/2*0.2))</f>
        <v>0.116666666666667</v>
      </c>
      <c r="Q13" s="9" t="n">
        <f aca="false">G13*12*P13</f>
        <v>2128000</v>
      </c>
      <c r="R13" s="10" t="s">
        <v>60</v>
      </c>
      <c r="S13" s="2" t="s">
        <v>31</v>
      </c>
    </row>
    <row r="14" customFormat="false" ht="26.85" hidden="false" customHeight="false" outlineLevel="0" collapsed="false">
      <c r="A14" s="2" t="s">
        <v>61</v>
      </c>
      <c r="B14" s="3" t="s">
        <v>62</v>
      </c>
      <c r="C14" s="3" t="s">
        <v>44</v>
      </c>
      <c r="D14" s="3" t="s">
        <v>29</v>
      </c>
      <c r="E14" s="3" t="s">
        <v>39</v>
      </c>
      <c r="F14" s="4" t="n">
        <v>45727</v>
      </c>
      <c r="G14" s="5" t="n">
        <v>2400000</v>
      </c>
      <c r="H14" s="6" t="n">
        <v>4</v>
      </c>
      <c r="I14" s="6" t="n">
        <v>4</v>
      </c>
      <c r="J14" s="6" t="n">
        <v>4</v>
      </c>
      <c r="K14" s="6" t="n">
        <v>4</v>
      </c>
      <c r="L14" s="6" t="n">
        <v>4</v>
      </c>
      <c r="M14" s="6" t="n">
        <v>4</v>
      </c>
      <c r="N14" s="7" t="n">
        <f aca="false">AVERAGE(H14:M14)</f>
        <v>4</v>
      </c>
      <c r="O14" s="2" t="str">
        <f aca="false">IF(ROUND(N14,0)&lt;=1,"Deficiente",IF(ROUND(N14,0)=2,"Bajo",IF(ROUND(N14,0)=3,"Satisfactorio",IF(ROUND(N14,0)=4,"Bueno","Excelente"))))</f>
        <v>Bueno</v>
      </c>
      <c r="P14" s="8" t="n">
        <f aca="false">MAX(0,MIN(0.2,(N14-3)/2*0.2))</f>
        <v>0.1</v>
      </c>
      <c r="Q14" s="9" t="n">
        <f aca="false">G14*12*P14</f>
        <v>2880000</v>
      </c>
      <c r="R14" s="10" t="s">
        <v>24</v>
      </c>
      <c r="S14" s="2" t="s">
        <v>31</v>
      </c>
    </row>
    <row r="15" customFormat="false" ht="26.85" hidden="false" customHeight="false" outlineLevel="0" collapsed="false">
      <c r="A15" s="2" t="s">
        <v>63</v>
      </c>
      <c r="B15" s="3" t="s">
        <v>64</v>
      </c>
      <c r="C15" s="3" t="s">
        <v>44</v>
      </c>
      <c r="D15" s="3" t="s">
        <v>29</v>
      </c>
      <c r="E15" s="3" t="s">
        <v>41</v>
      </c>
      <c r="F15" s="4" t="n">
        <v>45733</v>
      </c>
      <c r="G15" s="5" t="n">
        <v>1630000</v>
      </c>
      <c r="H15" s="6" t="n">
        <v>5</v>
      </c>
      <c r="I15" s="6" t="n">
        <v>5</v>
      </c>
      <c r="J15" s="6" t="n">
        <v>5</v>
      </c>
      <c r="K15" s="6" t="n">
        <v>5</v>
      </c>
      <c r="L15" s="6" t="n">
        <v>5</v>
      </c>
      <c r="M15" s="6" t="n">
        <v>5</v>
      </c>
      <c r="N15" s="7" t="n">
        <f aca="false">AVERAGE(H15:M15)</f>
        <v>5</v>
      </c>
      <c r="O15" s="2" t="str">
        <f aca="false">IF(ROUND(N15,0)&lt;=1,"Deficiente",IF(ROUND(N15,0)=2,"Bajo",IF(ROUND(N15,0)=3,"Satisfactorio",IF(ROUND(N15,0)=4,"Bueno","Excelente"))))</f>
        <v>Excelente</v>
      </c>
      <c r="P15" s="8" t="n">
        <f aca="false">MAX(0,MIN(0.2,(N15-3)/2*0.2))</f>
        <v>0.2</v>
      </c>
      <c r="Q15" s="9" t="n">
        <f aca="false">G15*12*P15</f>
        <v>3912000</v>
      </c>
      <c r="R15" s="10" t="s">
        <v>30</v>
      </c>
      <c r="S15" s="2" t="s">
        <v>31</v>
      </c>
    </row>
    <row r="16" customFormat="false" ht="39.55" hidden="false" customHeight="false" outlineLevel="0" collapsed="false">
      <c r="A16" s="2" t="s">
        <v>65</v>
      </c>
      <c r="B16" s="3" t="s">
        <v>66</v>
      </c>
      <c r="C16" s="3" t="s">
        <v>44</v>
      </c>
      <c r="D16" s="3" t="s">
        <v>29</v>
      </c>
      <c r="E16" s="3" t="s">
        <v>33</v>
      </c>
      <c r="F16" s="4" t="n">
        <v>45665</v>
      </c>
      <c r="G16" s="5" t="n">
        <v>2080000</v>
      </c>
      <c r="H16" s="6" t="n">
        <v>5</v>
      </c>
      <c r="I16" s="6" t="n">
        <v>5</v>
      </c>
      <c r="J16" s="6" t="n">
        <v>5</v>
      </c>
      <c r="K16" s="6" t="n">
        <v>5</v>
      </c>
      <c r="L16" s="6" t="n">
        <v>5</v>
      </c>
      <c r="M16" s="6" t="n">
        <v>4</v>
      </c>
      <c r="N16" s="7" t="n">
        <f aca="false">AVERAGE(H16:M16)</f>
        <v>4.83333333333333</v>
      </c>
      <c r="O16" s="2" t="str">
        <f aca="false">IF(ROUND(N16,0)&lt;=1,"Deficiente",IF(ROUND(N16,0)=2,"Bajo",IF(ROUND(N16,0)=3,"Satisfactorio",IF(ROUND(N16,0)=4,"Bueno","Excelente"))))</f>
        <v>Excelente</v>
      </c>
      <c r="P16" s="8" t="n">
        <f aca="false">MAX(0,MIN(0.2,(N16-3)/2*0.2))</f>
        <v>0.183333333333333</v>
      </c>
      <c r="Q16" s="9" t="n">
        <f aca="false">G16*12*P16</f>
        <v>4576000</v>
      </c>
      <c r="R16" s="10" t="s">
        <v>67</v>
      </c>
      <c r="S16" s="2" t="s">
        <v>31</v>
      </c>
    </row>
    <row r="17" customFormat="false" ht="39.55" hidden="false" customHeight="false" outlineLevel="0" collapsed="false">
      <c r="A17" s="2" t="s">
        <v>68</v>
      </c>
      <c r="B17" s="3" t="s">
        <v>69</v>
      </c>
      <c r="C17" s="3" t="s">
        <v>44</v>
      </c>
      <c r="D17" s="3" t="s">
        <v>29</v>
      </c>
      <c r="E17" s="3" t="s">
        <v>37</v>
      </c>
      <c r="F17" s="4" t="n">
        <v>45802</v>
      </c>
      <c r="G17" s="5" t="n">
        <v>2380000</v>
      </c>
      <c r="H17" s="6" t="n">
        <v>2</v>
      </c>
      <c r="I17" s="6" t="n">
        <v>3</v>
      </c>
      <c r="J17" s="6" t="n">
        <v>3</v>
      </c>
      <c r="K17" s="6" t="n">
        <v>3</v>
      </c>
      <c r="L17" s="6" t="n">
        <v>3</v>
      </c>
      <c r="M17" s="6" t="n">
        <v>3</v>
      </c>
      <c r="N17" s="7" t="n">
        <f aca="false">AVERAGE(H17:M17)</f>
        <v>2.83333333333333</v>
      </c>
      <c r="O17" s="2" t="str">
        <f aca="false">IF(ROUND(N17,0)&lt;=1,"Deficiente",IF(ROUND(N17,0)=2,"Bajo",IF(ROUND(N17,0)=3,"Satisfactorio",IF(ROUND(N17,0)=4,"Bueno","Excelente"))))</f>
        <v>Satisfactorio</v>
      </c>
      <c r="P17" s="8" t="n">
        <f aca="false">MAX(0,MIN(0.2,(N17-3)/2*0.2))</f>
        <v>0</v>
      </c>
      <c r="Q17" s="9" t="n">
        <f aca="false">G17*12*P17</f>
        <v>0</v>
      </c>
      <c r="R17" s="10" t="s">
        <v>45</v>
      </c>
      <c r="S17" s="2" t="s">
        <v>51</v>
      </c>
    </row>
    <row r="18" customFormat="false" ht="39.55" hidden="false" customHeight="false" outlineLevel="0" collapsed="false">
      <c r="A18" s="2" t="s">
        <v>70</v>
      </c>
      <c r="B18" s="3" t="s">
        <v>71</v>
      </c>
      <c r="C18" s="3" t="s">
        <v>44</v>
      </c>
      <c r="D18" s="3" t="s">
        <v>29</v>
      </c>
      <c r="E18" s="3" t="s">
        <v>39</v>
      </c>
      <c r="F18" s="4" t="n">
        <v>45865</v>
      </c>
      <c r="G18" s="5" t="n">
        <v>2470000</v>
      </c>
      <c r="H18" s="6" t="n">
        <v>2</v>
      </c>
      <c r="I18" s="6" t="n">
        <v>2</v>
      </c>
      <c r="J18" s="6" t="n">
        <v>2</v>
      </c>
      <c r="K18" s="6" t="n">
        <v>2</v>
      </c>
      <c r="L18" s="6" t="n">
        <v>2</v>
      </c>
      <c r="M18" s="6" t="n">
        <v>2</v>
      </c>
      <c r="N18" s="7" t="n">
        <f aca="false">AVERAGE(H18:M18)</f>
        <v>2</v>
      </c>
      <c r="O18" s="2" t="str">
        <f aca="false">IF(ROUND(N18,0)&lt;=1,"Deficiente",IF(ROUND(N18,0)=2,"Bajo",IF(ROUND(N18,0)=3,"Satisfactorio",IF(ROUND(N18,0)=4,"Bueno","Excelente"))))</f>
        <v>Bajo</v>
      </c>
      <c r="P18" s="8" t="n">
        <f aca="false">MAX(0,MIN(0.2,(N18-3)/2*0.2))</f>
        <v>0</v>
      </c>
      <c r="Q18" s="9" t="n">
        <f aca="false">G18*12*P18</f>
        <v>0</v>
      </c>
      <c r="R18" s="10" t="s">
        <v>72</v>
      </c>
      <c r="S18" s="2" t="s">
        <v>57</v>
      </c>
    </row>
    <row r="19" customFormat="false" ht="26.85" hidden="false" customHeight="false" outlineLevel="0" collapsed="false">
      <c r="A19" s="2" t="s">
        <v>73</v>
      </c>
      <c r="B19" s="3" t="s">
        <v>74</v>
      </c>
      <c r="C19" s="3" t="s">
        <v>44</v>
      </c>
      <c r="D19" s="3" t="s">
        <v>29</v>
      </c>
      <c r="E19" s="3" t="s">
        <v>41</v>
      </c>
      <c r="F19" s="4" t="n">
        <v>45738</v>
      </c>
      <c r="G19" s="5" t="n">
        <v>1440000</v>
      </c>
      <c r="H19" s="6" t="n">
        <v>3</v>
      </c>
      <c r="I19" s="6" t="n">
        <v>4</v>
      </c>
      <c r="J19" s="6" t="n">
        <v>5</v>
      </c>
      <c r="K19" s="6" t="n">
        <v>4</v>
      </c>
      <c r="L19" s="6" t="n">
        <v>4</v>
      </c>
      <c r="M19" s="6" t="n">
        <v>4</v>
      </c>
      <c r="N19" s="7" t="n">
        <f aca="false">AVERAGE(H19:M19)</f>
        <v>4</v>
      </c>
      <c r="O19" s="2" t="str">
        <f aca="false">IF(ROUND(N19,0)&lt;=1,"Deficiente",IF(ROUND(N19,0)=2,"Bajo",IF(ROUND(N19,0)=3,"Satisfactorio",IF(ROUND(N19,0)=4,"Bueno","Excelente"))))</f>
        <v>Bueno</v>
      </c>
      <c r="P19" s="8" t="n">
        <f aca="false">MAX(0,MIN(0.2,(N19-3)/2*0.2))</f>
        <v>0.1</v>
      </c>
      <c r="Q19" s="9" t="n">
        <f aca="false">G19*12*P19</f>
        <v>1728000</v>
      </c>
      <c r="R19" s="10" t="s">
        <v>35</v>
      </c>
      <c r="S19" s="2" t="s">
        <v>31</v>
      </c>
    </row>
    <row r="20" customFormat="false" ht="26.85" hidden="false" customHeight="false" outlineLevel="0" collapsed="false">
      <c r="A20" s="2" t="s">
        <v>75</v>
      </c>
      <c r="B20" s="3" t="s">
        <v>76</v>
      </c>
      <c r="C20" s="3" t="s">
        <v>44</v>
      </c>
      <c r="D20" s="3" t="s">
        <v>29</v>
      </c>
      <c r="E20" s="3" t="s">
        <v>33</v>
      </c>
      <c r="F20" s="4" t="n">
        <v>45898</v>
      </c>
      <c r="G20" s="5" t="n">
        <v>1740000</v>
      </c>
      <c r="H20" s="6" t="n">
        <v>4</v>
      </c>
      <c r="I20" s="6" t="n">
        <v>4</v>
      </c>
      <c r="J20" s="6" t="n">
        <v>4</v>
      </c>
      <c r="K20" s="6" t="n">
        <v>4</v>
      </c>
      <c r="L20" s="6" t="n">
        <v>4</v>
      </c>
      <c r="M20" s="6" t="n">
        <v>3</v>
      </c>
      <c r="N20" s="7" t="n">
        <f aca="false">AVERAGE(H20:M20)</f>
        <v>3.83333333333333</v>
      </c>
      <c r="O20" s="2" t="str">
        <f aca="false">IF(ROUND(N20,0)&lt;=1,"Deficiente",IF(ROUND(N20,0)=2,"Bajo",IF(ROUND(N20,0)=3,"Satisfactorio",IF(ROUND(N20,0)=4,"Bueno","Excelente"))))</f>
        <v>Bueno</v>
      </c>
      <c r="P20" s="8" t="n">
        <f aca="false">MAX(0,MIN(0.2,(N20-3)/2*0.2))</f>
        <v>0.0833333333333334</v>
      </c>
      <c r="Q20" s="9" t="n">
        <f aca="false">G20*12*P20</f>
        <v>1740000</v>
      </c>
      <c r="R20" s="10" t="s">
        <v>60</v>
      </c>
      <c r="S20" s="2" t="s">
        <v>31</v>
      </c>
    </row>
    <row r="21" customFormat="false" ht="39.55" hidden="false" customHeight="false" outlineLevel="0" collapsed="false">
      <c r="A21" s="2" t="s">
        <v>77</v>
      </c>
      <c r="B21" s="3" t="s">
        <v>78</v>
      </c>
      <c r="C21" s="3" t="s">
        <v>44</v>
      </c>
      <c r="D21" s="3" t="s">
        <v>29</v>
      </c>
      <c r="E21" s="3" t="s">
        <v>37</v>
      </c>
      <c r="F21" s="4" t="n">
        <v>45830</v>
      </c>
      <c r="G21" s="5" t="n">
        <v>2310000</v>
      </c>
      <c r="H21" s="6" t="n">
        <v>4</v>
      </c>
      <c r="I21" s="6" t="n">
        <v>5</v>
      </c>
      <c r="J21" s="6" t="n">
        <v>5</v>
      </c>
      <c r="K21" s="6" t="n">
        <v>5</v>
      </c>
      <c r="L21" s="6" t="n">
        <v>5</v>
      </c>
      <c r="M21" s="6" t="n">
        <v>5</v>
      </c>
      <c r="N21" s="7" t="n">
        <f aca="false">AVERAGE(H21:M21)</f>
        <v>4.83333333333333</v>
      </c>
      <c r="O21" s="2" t="str">
        <f aca="false">IF(ROUND(N21,0)&lt;=1,"Deficiente",IF(ROUND(N21,0)=2,"Bajo",IF(ROUND(N21,0)=3,"Satisfactorio",IF(ROUND(N21,0)=4,"Bueno","Excelente"))))</f>
        <v>Excelente</v>
      </c>
      <c r="P21" s="8" t="n">
        <f aca="false">MAX(0,MIN(0.2,(N21-3)/2*0.2))</f>
        <v>0.183333333333333</v>
      </c>
      <c r="Q21" s="9" t="n">
        <f aca="false">G21*12*P21</f>
        <v>5082000</v>
      </c>
      <c r="R21" s="10" t="s">
        <v>67</v>
      </c>
      <c r="S21" s="2" t="s">
        <v>31</v>
      </c>
    </row>
    <row r="22" customFormat="false" ht="26.85" hidden="false" customHeight="false" outlineLevel="0" collapsed="false">
      <c r="A22" s="2" t="s">
        <v>79</v>
      </c>
      <c r="B22" s="3" t="s">
        <v>80</v>
      </c>
      <c r="C22" s="3" t="s">
        <v>44</v>
      </c>
      <c r="D22" s="3" t="s">
        <v>29</v>
      </c>
      <c r="E22" s="3" t="s">
        <v>39</v>
      </c>
      <c r="F22" s="4" t="n">
        <v>45714</v>
      </c>
      <c r="G22" s="5" t="n">
        <v>1820000</v>
      </c>
      <c r="H22" s="6" t="n">
        <v>3</v>
      </c>
      <c r="I22" s="6" t="n">
        <v>3</v>
      </c>
      <c r="J22" s="6" t="n">
        <v>3</v>
      </c>
      <c r="K22" s="6" t="n">
        <v>4</v>
      </c>
      <c r="L22" s="6" t="n">
        <v>3</v>
      </c>
      <c r="M22" s="6" t="n">
        <v>3</v>
      </c>
      <c r="N22" s="7" t="n">
        <f aca="false">AVERAGE(H22:M22)</f>
        <v>3.16666666666667</v>
      </c>
      <c r="O22" s="2" t="str">
        <f aca="false">IF(ROUND(N22,0)&lt;=1,"Deficiente",IF(ROUND(N22,0)=2,"Bajo",IF(ROUND(N22,0)=3,"Satisfactorio",IF(ROUND(N22,0)=4,"Bueno","Excelente"))))</f>
        <v>Satisfactorio</v>
      </c>
      <c r="P22" s="8" t="n">
        <f aca="false">MAX(0,MIN(0.2,(N22-3)/2*0.2))</f>
        <v>0.0166666666666667</v>
      </c>
      <c r="Q22" s="9" t="n">
        <f aca="false">G22*12*P22</f>
        <v>364000</v>
      </c>
      <c r="R22" s="10" t="s">
        <v>50</v>
      </c>
      <c r="S22" s="2" t="s">
        <v>31</v>
      </c>
    </row>
    <row r="23" customFormat="false" ht="26.85" hidden="false" customHeight="false" outlineLevel="0" collapsed="false">
      <c r="A23" s="2" t="s">
        <v>81</v>
      </c>
      <c r="B23" s="3" t="s">
        <v>82</v>
      </c>
      <c r="C23" s="3" t="s">
        <v>44</v>
      </c>
      <c r="D23" s="3" t="s">
        <v>29</v>
      </c>
      <c r="E23" s="3" t="s">
        <v>41</v>
      </c>
      <c r="F23" s="4" t="n">
        <v>45867</v>
      </c>
      <c r="G23" s="5" t="n">
        <v>2590000</v>
      </c>
      <c r="H23" s="6" t="n">
        <v>5</v>
      </c>
      <c r="I23" s="6" t="n">
        <v>4</v>
      </c>
      <c r="J23" s="6" t="n">
        <v>4</v>
      </c>
      <c r="K23" s="6" t="n">
        <v>4</v>
      </c>
      <c r="L23" s="6" t="n">
        <v>4</v>
      </c>
      <c r="M23" s="6" t="n">
        <v>4</v>
      </c>
      <c r="N23" s="7" t="n">
        <f aca="false">AVERAGE(H23:M23)</f>
        <v>4.16666666666667</v>
      </c>
      <c r="O23" s="2" t="str">
        <f aca="false">IF(ROUND(N23,0)&lt;=1,"Deficiente",IF(ROUND(N23,0)=2,"Bajo",IF(ROUND(N23,0)=3,"Satisfactorio",IF(ROUND(N23,0)=4,"Bueno","Excelente"))))</f>
        <v>Bueno</v>
      </c>
      <c r="P23" s="8" t="n">
        <f aca="false">MAX(0,MIN(0.2,(N23-3)/2*0.2))</f>
        <v>0.116666666666667</v>
      </c>
      <c r="Q23" s="9" t="n">
        <f aca="false">G23*12*P23</f>
        <v>3626000</v>
      </c>
      <c r="R23" s="10" t="s">
        <v>60</v>
      </c>
      <c r="S23" s="2" t="s">
        <v>31</v>
      </c>
    </row>
    <row r="24" customFormat="false" ht="26.85" hidden="false" customHeight="false" outlineLevel="0" collapsed="false">
      <c r="A24" s="2" t="s">
        <v>83</v>
      </c>
      <c r="B24" s="3" t="s">
        <v>84</v>
      </c>
      <c r="C24" s="3" t="s">
        <v>44</v>
      </c>
      <c r="D24" s="3" t="s">
        <v>29</v>
      </c>
      <c r="E24" s="3" t="s">
        <v>33</v>
      </c>
      <c r="F24" s="4" t="n">
        <v>45698</v>
      </c>
      <c r="G24" s="5" t="n">
        <v>1970000</v>
      </c>
      <c r="H24" s="6" t="n">
        <v>2</v>
      </c>
      <c r="I24" s="6" t="n">
        <v>1</v>
      </c>
      <c r="J24" s="6" t="n">
        <v>1</v>
      </c>
      <c r="K24" s="6" t="n">
        <v>1</v>
      </c>
      <c r="L24" s="6" t="n">
        <v>2</v>
      </c>
      <c r="M24" s="6" t="n">
        <v>2</v>
      </c>
      <c r="N24" s="7" t="n">
        <f aca="false">AVERAGE(H24:M24)</f>
        <v>1.5</v>
      </c>
      <c r="O24" s="2" t="str">
        <f aca="false">IF(ROUND(N24,0)&lt;=1,"Deficiente",IF(ROUND(N24,0)=2,"Bajo",IF(ROUND(N24,0)=3,"Satisfactorio",IF(ROUND(N24,0)=4,"Bueno","Excelente"))))</f>
        <v>Bajo</v>
      </c>
      <c r="P24" s="8" t="n">
        <f aca="false">MAX(0,MIN(0.2,(N24-3)/2*0.2))</f>
        <v>0</v>
      </c>
      <c r="Q24" s="9" t="n">
        <f aca="false">G24*12*P24</f>
        <v>0</v>
      </c>
      <c r="R24" s="10" t="s">
        <v>85</v>
      </c>
      <c r="S24" s="2" t="s">
        <v>51</v>
      </c>
    </row>
    <row r="25" customFormat="false" ht="26.85" hidden="false" customHeight="false" outlineLevel="0" collapsed="false">
      <c r="A25" s="2" t="s">
        <v>86</v>
      </c>
      <c r="B25" s="3" t="s">
        <v>87</v>
      </c>
      <c r="C25" s="3" t="s">
        <v>44</v>
      </c>
      <c r="D25" s="3" t="s">
        <v>29</v>
      </c>
      <c r="E25" s="3" t="s">
        <v>37</v>
      </c>
      <c r="F25" s="4" t="n">
        <v>45788</v>
      </c>
      <c r="G25" s="5" t="n">
        <v>1570000</v>
      </c>
      <c r="H25" s="6" t="n">
        <v>3</v>
      </c>
      <c r="I25" s="6" t="n">
        <v>2</v>
      </c>
      <c r="J25" s="6" t="n">
        <v>2</v>
      </c>
      <c r="K25" s="6" t="n">
        <v>3</v>
      </c>
      <c r="L25" s="6" t="n">
        <v>3</v>
      </c>
      <c r="M25" s="6" t="n">
        <v>2</v>
      </c>
      <c r="N25" s="7" t="n">
        <f aca="false">AVERAGE(H25:M25)</f>
        <v>2.5</v>
      </c>
      <c r="O25" s="2" t="str">
        <f aca="false">IF(ROUND(N25,0)&lt;=1,"Deficiente",IF(ROUND(N25,0)=2,"Bajo",IF(ROUND(N25,0)=3,"Satisfactorio",IF(ROUND(N25,0)=4,"Bueno","Excelente"))))</f>
        <v>Satisfactorio</v>
      </c>
      <c r="P25" s="8" t="n">
        <f aca="false">MAX(0,MIN(0.2,(N25-3)/2*0.2))</f>
        <v>0</v>
      </c>
      <c r="Q25" s="9" t="n">
        <f aca="false">G25*12*P25</f>
        <v>0</v>
      </c>
      <c r="R25" s="10" t="s">
        <v>88</v>
      </c>
      <c r="S25" s="2" t="s">
        <v>51</v>
      </c>
    </row>
    <row r="26" customFormat="false" ht="26.85" hidden="false" customHeight="false" outlineLevel="0" collapsed="false">
      <c r="A26" s="2" t="s">
        <v>89</v>
      </c>
      <c r="B26" s="3" t="s">
        <v>90</v>
      </c>
      <c r="C26" s="3" t="s">
        <v>44</v>
      </c>
      <c r="D26" s="3" t="s">
        <v>29</v>
      </c>
      <c r="E26" s="3" t="s">
        <v>39</v>
      </c>
      <c r="F26" s="4" t="n">
        <v>45780</v>
      </c>
      <c r="G26" s="5" t="n">
        <v>1630000</v>
      </c>
      <c r="H26" s="6" t="n">
        <v>4</v>
      </c>
      <c r="I26" s="6" t="n">
        <v>4</v>
      </c>
      <c r="J26" s="6" t="n">
        <v>3</v>
      </c>
      <c r="K26" s="6" t="n">
        <v>4</v>
      </c>
      <c r="L26" s="6" t="n">
        <v>4</v>
      </c>
      <c r="M26" s="6" t="n">
        <v>4</v>
      </c>
      <c r="N26" s="7" t="n">
        <f aca="false">AVERAGE(H26:M26)</f>
        <v>3.83333333333333</v>
      </c>
      <c r="O26" s="2" t="str">
        <f aca="false">IF(ROUND(N26,0)&lt;=1,"Deficiente",IF(ROUND(N26,0)=2,"Bajo",IF(ROUND(N26,0)=3,"Satisfactorio",IF(ROUND(N26,0)=4,"Bueno","Excelente"))))</f>
        <v>Bueno</v>
      </c>
      <c r="P26" s="8" t="n">
        <f aca="false">MAX(0,MIN(0.2,(N26-3)/2*0.2))</f>
        <v>0.0833333333333334</v>
      </c>
      <c r="Q26" s="9" t="n">
        <f aca="false">G26*12*P26</f>
        <v>1630000</v>
      </c>
      <c r="R26" s="10" t="s">
        <v>35</v>
      </c>
      <c r="S26" s="2" t="s">
        <v>31</v>
      </c>
    </row>
    <row r="27" customFormat="false" ht="26.85" hidden="false" customHeight="false" outlineLevel="0" collapsed="false">
      <c r="A27" s="2" t="s">
        <v>91</v>
      </c>
      <c r="B27" s="3" t="s">
        <v>92</v>
      </c>
      <c r="C27" s="3" t="s">
        <v>44</v>
      </c>
      <c r="D27" s="3" t="s">
        <v>29</v>
      </c>
      <c r="E27" s="3" t="s">
        <v>41</v>
      </c>
      <c r="F27" s="4" t="n">
        <v>45701</v>
      </c>
      <c r="G27" s="5" t="n">
        <v>2090000</v>
      </c>
      <c r="H27" s="6" t="n">
        <v>4</v>
      </c>
      <c r="I27" s="6" t="n">
        <v>4</v>
      </c>
      <c r="J27" s="6" t="n">
        <v>4</v>
      </c>
      <c r="K27" s="6" t="n">
        <v>5</v>
      </c>
      <c r="L27" s="6" t="n">
        <v>4</v>
      </c>
      <c r="M27" s="6" t="n">
        <v>4</v>
      </c>
      <c r="N27" s="7" t="n">
        <f aca="false">AVERAGE(H27:M27)</f>
        <v>4.16666666666667</v>
      </c>
      <c r="O27" s="2" t="str">
        <f aca="false">IF(ROUND(N27,0)&lt;=1,"Deficiente",IF(ROUND(N27,0)=2,"Bajo",IF(ROUND(N27,0)=3,"Satisfactorio",IF(ROUND(N27,0)=4,"Bueno","Excelente"))))</f>
        <v>Bueno</v>
      </c>
      <c r="P27" s="8" t="n">
        <f aca="false">MAX(0,MIN(0.2,(N27-3)/2*0.2))</f>
        <v>0.116666666666667</v>
      </c>
      <c r="Q27" s="9" t="n">
        <f aca="false">G27*12*P27</f>
        <v>2926000</v>
      </c>
      <c r="R27" s="10" t="s">
        <v>60</v>
      </c>
      <c r="S27" s="2" t="s">
        <v>31</v>
      </c>
    </row>
    <row r="28" customFormat="false" ht="26.85" hidden="false" customHeight="false" outlineLevel="0" collapsed="false">
      <c r="A28" s="2" t="s">
        <v>93</v>
      </c>
      <c r="B28" s="3" t="s">
        <v>94</v>
      </c>
      <c r="C28" s="3" t="s">
        <v>44</v>
      </c>
      <c r="D28" s="3" t="s">
        <v>29</v>
      </c>
      <c r="E28" s="3" t="s">
        <v>33</v>
      </c>
      <c r="F28" s="4" t="n">
        <v>45887</v>
      </c>
      <c r="G28" s="5" t="n">
        <v>1850000</v>
      </c>
      <c r="H28" s="6" t="n">
        <v>4</v>
      </c>
      <c r="I28" s="6" t="n">
        <v>4</v>
      </c>
      <c r="J28" s="6" t="n">
        <v>4</v>
      </c>
      <c r="K28" s="6" t="n">
        <v>4</v>
      </c>
      <c r="L28" s="6" t="n">
        <v>4</v>
      </c>
      <c r="M28" s="6" t="n">
        <v>4</v>
      </c>
      <c r="N28" s="7" t="n">
        <f aca="false">AVERAGE(H28:M28)</f>
        <v>4</v>
      </c>
      <c r="O28" s="2" t="str">
        <f aca="false">IF(ROUND(N28,0)&lt;=1,"Deficiente",IF(ROUND(N28,0)=2,"Bajo",IF(ROUND(N28,0)=3,"Satisfactorio",IF(ROUND(N28,0)=4,"Bueno","Excelente"))))</f>
        <v>Bueno</v>
      </c>
      <c r="P28" s="8" t="n">
        <f aca="false">MAX(0,MIN(0.2,(N28-3)/2*0.2))</f>
        <v>0.1</v>
      </c>
      <c r="Q28" s="9" t="n">
        <f aca="false">G28*12*P28</f>
        <v>2220000</v>
      </c>
      <c r="R28" s="10" t="s">
        <v>35</v>
      </c>
      <c r="S28" s="2" t="s">
        <v>31</v>
      </c>
    </row>
    <row r="29" customFormat="false" ht="39.55" hidden="false" customHeight="false" outlineLevel="0" collapsed="false">
      <c r="A29" s="2" t="s">
        <v>95</v>
      </c>
      <c r="B29" s="3" t="s">
        <v>96</v>
      </c>
      <c r="C29" s="3" t="s">
        <v>44</v>
      </c>
      <c r="D29" s="3" t="s">
        <v>29</v>
      </c>
      <c r="E29" s="3" t="s">
        <v>37</v>
      </c>
      <c r="F29" s="4" t="n">
        <v>45709</v>
      </c>
      <c r="G29" s="5" t="n">
        <v>1620000</v>
      </c>
      <c r="H29" s="6" t="n">
        <v>2</v>
      </c>
      <c r="I29" s="6" t="n">
        <v>3</v>
      </c>
      <c r="J29" s="6" t="n">
        <v>3</v>
      </c>
      <c r="K29" s="6" t="n">
        <v>2</v>
      </c>
      <c r="L29" s="6" t="n">
        <v>3</v>
      </c>
      <c r="M29" s="6" t="n">
        <v>2</v>
      </c>
      <c r="N29" s="7" t="n">
        <f aca="false">AVERAGE(H29:M29)</f>
        <v>2.5</v>
      </c>
      <c r="O29" s="2" t="str">
        <f aca="false">IF(ROUND(N29,0)&lt;=1,"Deficiente",IF(ROUND(N29,0)=2,"Bajo",IF(ROUND(N29,0)=3,"Satisfactorio",IF(ROUND(N29,0)=4,"Bueno","Excelente"))))</f>
        <v>Satisfactorio</v>
      </c>
      <c r="P29" s="8" t="n">
        <f aca="false">MAX(0,MIN(0.2,(N29-3)/2*0.2))</f>
        <v>0</v>
      </c>
      <c r="Q29" s="9" t="n">
        <f aca="false">G29*12*P29</f>
        <v>0</v>
      </c>
      <c r="R29" s="10" t="s">
        <v>97</v>
      </c>
      <c r="S29" s="2" t="s">
        <v>57</v>
      </c>
    </row>
    <row r="30" customFormat="false" ht="26.85" hidden="false" customHeight="false" outlineLevel="0" collapsed="false">
      <c r="A30" s="2" t="s">
        <v>98</v>
      </c>
      <c r="B30" s="3" t="s">
        <v>99</v>
      </c>
      <c r="C30" s="3" t="s">
        <v>44</v>
      </c>
      <c r="D30" s="3" t="s">
        <v>29</v>
      </c>
      <c r="E30" s="3" t="s">
        <v>39</v>
      </c>
      <c r="F30" s="4" t="n">
        <v>45748</v>
      </c>
      <c r="G30" s="5" t="n">
        <v>2490000</v>
      </c>
      <c r="H30" s="6" t="n">
        <v>4</v>
      </c>
      <c r="I30" s="6" t="n">
        <v>5</v>
      </c>
      <c r="J30" s="6" t="n">
        <v>5</v>
      </c>
      <c r="K30" s="6" t="n">
        <v>4</v>
      </c>
      <c r="L30" s="6" t="n">
        <v>4</v>
      </c>
      <c r="M30" s="6" t="n">
        <v>4</v>
      </c>
      <c r="N30" s="7" t="n">
        <f aca="false">AVERAGE(H30:M30)</f>
        <v>4.33333333333333</v>
      </c>
      <c r="O30" s="2" t="str">
        <f aca="false">IF(ROUND(N30,0)&lt;=1,"Deficiente",IF(ROUND(N30,0)=2,"Bajo",IF(ROUND(N30,0)=3,"Satisfactorio",IF(ROUND(N30,0)=4,"Bueno","Excelente"))))</f>
        <v>Bueno</v>
      </c>
      <c r="P30" s="8" t="n">
        <f aca="false">MAX(0,MIN(0.2,(N30-3)/2*0.2))</f>
        <v>0.133333333333333</v>
      </c>
      <c r="Q30" s="9" t="n">
        <f aca="false">G30*12*P30</f>
        <v>3984000</v>
      </c>
      <c r="R30" s="10" t="s">
        <v>24</v>
      </c>
      <c r="S30" s="2" t="s">
        <v>31</v>
      </c>
    </row>
    <row r="31" customFormat="false" ht="26.85" hidden="false" customHeight="false" outlineLevel="0" collapsed="false">
      <c r="A31" s="2" t="s">
        <v>100</v>
      </c>
      <c r="B31" s="3" t="s">
        <v>101</v>
      </c>
      <c r="C31" s="3" t="s">
        <v>44</v>
      </c>
      <c r="D31" s="3" t="s">
        <v>29</v>
      </c>
      <c r="E31" s="3" t="s">
        <v>41</v>
      </c>
      <c r="F31" s="4" t="n">
        <v>45839</v>
      </c>
      <c r="G31" s="5" t="n">
        <v>1570000</v>
      </c>
      <c r="H31" s="6" t="n">
        <v>4</v>
      </c>
      <c r="I31" s="6" t="n">
        <v>4</v>
      </c>
      <c r="J31" s="6" t="n">
        <v>4</v>
      </c>
      <c r="K31" s="6" t="n">
        <v>4</v>
      </c>
      <c r="L31" s="6" t="n">
        <v>4</v>
      </c>
      <c r="M31" s="6" t="n">
        <v>4</v>
      </c>
      <c r="N31" s="7" t="n">
        <f aca="false">AVERAGE(H31:M31)</f>
        <v>4</v>
      </c>
      <c r="O31" s="2" t="str">
        <f aca="false">IF(ROUND(N31,0)&lt;=1,"Deficiente",IF(ROUND(N31,0)=2,"Bajo",IF(ROUND(N31,0)=3,"Satisfactorio",IF(ROUND(N31,0)=4,"Bueno","Excelente"))))</f>
        <v>Bueno</v>
      </c>
      <c r="P31" s="8" t="n">
        <f aca="false">MAX(0,MIN(0.2,(N31-3)/2*0.2))</f>
        <v>0.1</v>
      </c>
      <c r="Q31" s="9" t="n">
        <f aca="false">G31*12*P31</f>
        <v>1884000</v>
      </c>
      <c r="R31" s="10" t="s">
        <v>24</v>
      </c>
      <c r="S31" s="2" t="s">
        <v>31</v>
      </c>
    </row>
    <row r="32" customFormat="false" ht="26.85" hidden="false" customHeight="false" outlineLevel="0" collapsed="false">
      <c r="A32" s="2" t="s">
        <v>102</v>
      </c>
      <c r="B32" s="3" t="s">
        <v>103</v>
      </c>
      <c r="C32" s="3" t="s">
        <v>44</v>
      </c>
      <c r="D32" s="3" t="s">
        <v>29</v>
      </c>
      <c r="E32" s="3" t="s">
        <v>33</v>
      </c>
      <c r="F32" s="4" t="n">
        <v>45878</v>
      </c>
      <c r="G32" s="5" t="n">
        <v>2200000</v>
      </c>
      <c r="H32" s="6" t="n">
        <v>3</v>
      </c>
      <c r="I32" s="6" t="n">
        <v>3</v>
      </c>
      <c r="J32" s="6" t="n">
        <v>4</v>
      </c>
      <c r="K32" s="6" t="n">
        <v>3</v>
      </c>
      <c r="L32" s="6" t="n">
        <v>3</v>
      </c>
      <c r="M32" s="6" t="n">
        <v>3</v>
      </c>
      <c r="N32" s="7" t="n">
        <f aca="false">AVERAGE(H32:M32)</f>
        <v>3.16666666666667</v>
      </c>
      <c r="O32" s="2" t="str">
        <f aca="false">IF(ROUND(N32,0)&lt;=1,"Deficiente",IF(ROUND(N32,0)=2,"Bajo",IF(ROUND(N32,0)=3,"Satisfactorio",IF(ROUND(N32,0)=4,"Bueno","Excelente"))))</f>
        <v>Satisfactorio</v>
      </c>
      <c r="P32" s="8" t="n">
        <f aca="false">MAX(0,MIN(0.2,(N32-3)/2*0.2))</f>
        <v>0.0166666666666667</v>
      </c>
      <c r="Q32" s="9" t="n">
        <f aca="false">G32*12*P32</f>
        <v>440000</v>
      </c>
      <c r="R32" s="10" t="s">
        <v>50</v>
      </c>
      <c r="S32" s="2" t="s">
        <v>31</v>
      </c>
    </row>
    <row r="33" customFormat="false" ht="26.85" hidden="false" customHeight="false" outlineLevel="0" collapsed="false">
      <c r="A33" s="2" t="s">
        <v>104</v>
      </c>
      <c r="B33" s="3" t="s">
        <v>105</v>
      </c>
      <c r="C33" s="3" t="s">
        <v>44</v>
      </c>
      <c r="D33" s="3" t="s">
        <v>29</v>
      </c>
      <c r="E33" s="3" t="s">
        <v>37</v>
      </c>
      <c r="F33" s="4" t="n">
        <v>45784</v>
      </c>
      <c r="G33" s="5" t="n">
        <v>2390000</v>
      </c>
      <c r="H33" s="6" t="n">
        <v>4</v>
      </c>
      <c r="I33" s="6" t="n">
        <v>4</v>
      </c>
      <c r="J33" s="6" t="n">
        <v>4</v>
      </c>
      <c r="K33" s="6" t="n">
        <v>4</v>
      </c>
      <c r="L33" s="6" t="n">
        <v>4</v>
      </c>
      <c r="M33" s="6" t="n">
        <v>4</v>
      </c>
      <c r="N33" s="7" t="n">
        <f aca="false">AVERAGE(H33:M33)</f>
        <v>4</v>
      </c>
      <c r="O33" s="2" t="str">
        <f aca="false">IF(ROUND(N33,0)&lt;=1,"Deficiente",IF(ROUND(N33,0)=2,"Bajo",IF(ROUND(N33,0)=3,"Satisfactorio",IF(ROUND(N33,0)=4,"Bueno","Excelente"))))</f>
        <v>Bueno</v>
      </c>
      <c r="P33" s="8" t="n">
        <f aca="false">MAX(0,MIN(0.2,(N33-3)/2*0.2))</f>
        <v>0.1</v>
      </c>
      <c r="Q33" s="9" t="n">
        <f aca="false">G33*12*P33</f>
        <v>2868000</v>
      </c>
      <c r="R33" s="10" t="s">
        <v>24</v>
      </c>
      <c r="S33" s="2" t="s">
        <v>31</v>
      </c>
    </row>
    <row r="34" customFormat="false" ht="26.85" hidden="false" customHeight="false" outlineLevel="0" collapsed="false">
      <c r="A34" s="2" t="s">
        <v>106</v>
      </c>
      <c r="B34" s="3" t="s">
        <v>107</v>
      </c>
      <c r="C34" s="3" t="s">
        <v>44</v>
      </c>
      <c r="D34" s="3" t="s">
        <v>29</v>
      </c>
      <c r="E34" s="3" t="s">
        <v>39</v>
      </c>
      <c r="F34" s="4" t="n">
        <v>45676</v>
      </c>
      <c r="G34" s="5" t="n">
        <v>2420000</v>
      </c>
      <c r="H34" s="6" t="n">
        <v>5</v>
      </c>
      <c r="I34" s="6" t="n">
        <v>4</v>
      </c>
      <c r="J34" s="6" t="n">
        <v>4</v>
      </c>
      <c r="K34" s="6" t="n">
        <v>5</v>
      </c>
      <c r="L34" s="6" t="n">
        <v>5</v>
      </c>
      <c r="M34" s="6" t="n">
        <v>5</v>
      </c>
      <c r="N34" s="7" t="n">
        <f aca="false">AVERAGE(H34:M34)</f>
        <v>4.66666666666667</v>
      </c>
      <c r="O34" s="2" t="str">
        <f aca="false">IF(ROUND(N34,0)&lt;=1,"Deficiente",IF(ROUND(N34,0)=2,"Bajo",IF(ROUND(N34,0)=3,"Satisfactorio",IF(ROUND(N34,0)=4,"Bueno","Excelente"))))</f>
        <v>Excelente</v>
      </c>
      <c r="P34" s="8" t="n">
        <f aca="false">MAX(0,MIN(0.2,(N34-3)/2*0.2))</f>
        <v>0.166666666666667</v>
      </c>
      <c r="Q34" s="9" t="n">
        <f aca="false">G34*12*P34</f>
        <v>4840000</v>
      </c>
      <c r="R34" s="10" t="s">
        <v>30</v>
      </c>
      <c r="S34" s="2" t="s">
        <v>31</v>
      </c>
    </row>
    <row r="35" customFormat="false" ht="26.85" hidden="false" customHeight="false" outlineLevel="0" collapsed="false">
      <c r="A35" s="2" t="s">
        <v>108</v>
      </c>
      <c r="B35" s="3" t="s">
        <v>109</v>
      </c>
      <c r="C35" s="3" t="s">
        <v>44</v>
      </c>
      <c r="D35" s="3" t="s">
        <v>29</v>
      </c>
      <c r="E35" s="3" t="s">
        <v>41</v>
      </c>
      <c r="F35" s="4" t="n">
        <v>45791</v>
      </c>
      <c r="G35" s="5" t="n">
        <v>2500000</v>
      </c>
      <c r="H35" s="6" t="n">
        <v>3</v>
      </c>
      <c r="I35" s="6" t="n">
        <v>3</v>
      </c>
      <c r="J35" s="6" t="n">
        <v>3</v>
      </c>
      <c r="K35" s="6" t="n">
        <v>3</v>
      </c>
      <c r="L35" s="6" t="n">
        <v>4</v>
      </c>
      <c r="M35" s="6" t="n">
        <v>3</v>
      </c>
      <c r="N35" s="7" t="n">
        <f aca="false">AVERAGE(H35:M35)</f>
        <v>3.16666666666667</v>
      </c>
      <c r="O35" s="2" t="str">
        <f aca="false">IF(ROUND(N35,0)&lt;=1,"Deficiente",IF(ROUND(N35,0)=2,"Bajo",IF(ROUND(N35,0)=3,"Satisfactorio",IF(ROUND(N35,0)=4,"Bueno","Excelente"))))</f>
        <v>Satisfactorio</v>
      </c>
      <c r="P35" s="8" t="n">
        <f aca="false">MAX(0,MIN(0.2,(N35-3)/2*0.2))</f>
        <v>0.0166666666666667</v>
      </c>
      <c r="Q35" s="9" t="n">
        <f aca="false">G35*12*P35</f>
        <v>500000</v>
      </c>
      <c r="R35" s="10" t="s">
        <v>50</v>
      </c>
      <c r="S35" s="2" t="s">
        <v>31</v>
      </c>
    </row>
    <row r="36" customFormat="false" ht="26.85" hidden="false" customHeight="false" outlineLevel="0" collapsed="false">
      <c r="A36" s="2" t="s">
        <v>110</v>
      </c>
      <c r="B36" s="3" t="s">
        <v>111</v>
      </c>
      <c r="C36" s="3" t="s">
        <v>44</v>
      </c>
      <c r="D36" s="3" t="s">
        <v>29</v>
      </c>
      <c r="E36" s="3" t="s">
        <v>33</v>
      </c>
      <c r="F36" s="4" t="n">
        <v>45725</v>
      </c>
      <c r="G36" s="5" t="n">
        <v>1850000</v>
      </c>
      <c r="H36" s="6" t="n">
        <v>4</v>
      </c>
      <c r="I36" s="6" t="n">
        <v>4</v>
      </c>
      <c r="J36" s="6" t="n">
        <v>3</v>
      </c>
      <c r="K36" s="6" t="n">
        <v>4</v>
      </c>
      <c r="L36" s="6" t="n">
        <v>4</v>
      </c>
      <c r="M36" s="6" t="n">
        <v>3</v>
      </c>
      <c r="N36" s="7" t="n">
        <f aca="false">AVERAGE(H36:M36)</f>
        <v>3.66666666666667</v>
      </c>
      <c r="O36" s="2" t="str">
        <f aca="false">IF(ROUND(N36,0)&lt;=1,"Deficiente",IF(ROUND(N36,0)=2,"Bajo",IF(ROUND(N36,0)=3,"Satisfactorio",IF(ROUND(N36,0)=4,"Bueno","Excelente"))))</f>
        <v>Bueno</v>
      </c>
      <c r="P36" s="8" t="n">
        <f aca="false">MAX(0,MIN(0.2,(N36-3)/2*0.2))</f>
        <v>0.0666666666666667</v>
      </c>
      <c r="Q36" s="9" t="n">
        <f aca="false">G36*12*P36</f>
        <v>1480000</v>
      </c>
      <c r="R36" s="10" t="s">
        <v>112</v>
      </c>
      <c r="S36" s="2" t="s">
        <v>51</v>
      </c>
    </row>
    <row r="37" customFormat="false" ht="26.85" hidden="false" customHeight="false" outlineLevel="0" collapsed="false">
      <c r="A37" s="2" t="s">
        <v>113</v>
      </c>
      <c r="B37" s="3" t="s">
        <v>114</v>
      </c>
      <c r="C37" s="3" t="s">
        <v>44</v>
      </c>
      <c r="D37" s="3" t="s">
        <v>29</v>
      </c>
      <c r="E37" s="3" t="s">
        <v>37</v>
      </c>
      <c r="F37" s="4" t="n">
        <v>45765</v>
      </c>
      <c r="G37" s="5" t="n">
        <v>1580000</v>
      </c>
      <c r="H37" s="6" t="n">
        <v>5</v>
      </c>
      <c r="I37" s="6" t="n">
        <v>5</v>
      </c>
      <c r="J37" s="6" t="n">
        <v>4</v>
      </c>
      <c r="K37" s="6" t="n">
        <v>5</v>
      </c>
      <c r="L37" s="6" t="n">
        <v>5</v>
      </c>
      <c r="M37" s="6" t="n">
        <v>5</v>
      </c>
      <c r="N37" s="7" t="n">
        <f aca="false">AVERAGE(H37:M37)</f>
        <v>4.83333333333333</v>
      </c>
      <c r="O37" s="2" t="str">
        <f aca="false">IF(ROUND(N37,0)&lt;=1,"Deficiente",IF(ROUND(N37,0)=2,"Bajo",IF(ROUND(N37,0)=3,"Satisfactorio",IF(ROUND(N37,0)=4,"Bueno","Excelente"))))</f>
        <v>Excelente</v>
      </c>
      <c r="P37" s="8" t="n">
        <f aca="false">MAX(0,MIN(0.2,(N37-3)/2*0.2))</f>
        <v>0.183333333333333</v>
      </c>
      <c r="Q37" s="9" t="n">
        <f aca="false">G37*12*P37</f>
        <v>3476000</v>
      </c>
      <c r="R37" s="10" t="s">
        <v>30</v>
      </c>
      <c r="S37" s="2" t="s">
        <v>31</v>
      </c>
    </row>
    <row r="38" customFormat="false" ht="26.85" hidden="false" customHeight="false" outlineLevel="0" collapsed="false">
      <c r="A38" s="2" t="s">
        <v>115</v>
      </c>
      <c r="B38" s="3" t="s">
        <v>116</v>
      </c>
      <c r="C38" s="3" t="s">
        <v>44</v>
      </c>
      <c r="D38" s="3" t="s">
        <v>29</v>
      </c>
      <c r="E38" s="3" t="s">
        <v>39</v>
      </c>
      <c r="F38" s="4" t="n">
        <v>45873</v>
      </c>
      <c r="G38" s="5" t="n">
        <v>2170000</v>
      </c>
      <c r="H38" s="6" t="n">
        <v>5</v>
      </c>
      <c r="I38" s="6" t="n">
        <v>5</v>
      </c>
      <c r="J38" s="6" t="n">
        <v>5</v>
      </c>
      <c r="K38" s="6" t="n">
        <v>5</v>
      </c>
      <c r="L38" s="6" t="n">
        <v>5</v>
      </c>
      <c r="M38" s="6" t="n">
        <v>5</v>
      </c>
      <c r="N38" s="7" t="n">
        <f aca="false">AVERAGE(H38:M38)</f>
        <v>5</v>
      </c>
      <c r="O38" s="2" t="str">
        <f aca="false">IF(ROUND(N38,0)&lt;=1,"Deficiente",IF(ROUND(N38,0)=2,"Bajo",IF(ROUND(N38,0)=3,"Satisfactorio",IF(ROUND(N38,0)=4,"Bueno","Excelente"))))</f>
        <v>Excelente</v>
      </c>
      <c r="P38" s="8" t="n">
        <f aca="false">MAX(0,MIN(0.2,(N38-3)/2*0.2))</f>
        <v>0.2</v>
      </c>
      <c r="Q38" s="9" t="n">
        <f aca="false">G38*12*P38</f>
        <v>5208000</v>
      </c>
      <c r="R38" s="10" t="s">
        <v>117</v>
      </c>
      <c r="S38" s="2" t="s">
        <v>31</v>
      </c>
    </row>
    <row r="39" customFormat="false" ht="26.85" hidden="false" customHeight="false" outlineLevel="0" collapsed="false">
      <c r="A39" s="2" t="s">
        <v>118</v>
      </c>
      <c r="B39" s="3" t="s">
        <v>119</v>
      </c>
      <c r="C39" s="3" t="s">
        <v>44</v>
      </c>
      <c r="D39" s="3" t="s">
        <v>29</v>
      </c>
      <c r="E39" s="3" t="s">
        <v>41</v>
      </c>
      <c r="F39" s="4" t="n">
        <v>45885</v>
      </c>
      <c r="G39" s="5" t="n">
        <v>2200000</v>
      </c>
      <c r="H39" s="6" t="n">
        <v>4</v>
      </c>
      <c r="I39" s="6" t="n">
        <v>4</v>
      </c>
      <c r="J39" s="6" t="n">
        <v>5</v>
      </c>
      <c r="K39" s="6" t="n">
        <v>4</v>
      </c>
      <c r="L39" s="6" t="n">
        <v>5</v>
      </c>
      <c r="M39" s="6" t="n">
        <v>4</v>
      </c>
      <c r="N39" s="7" t="n">
        <f aca="false">AVERAGE(H39:M39)</f>
        <v>4.33333333333333</v>
      </c>
      <c r="O39" s="2" t="str">
        <f aca="false">IF(ROUND(N39,0)&lt;=1,"Deficiente",IF(ROUND(N39,0)=2,"Bajo",IF(ROUND(N39,0)=3,"Satisfactorio",IF(ROUND(N39,0)=4,"Bueno","Excelente"))))</f>
        <v>Bueno</v>
      </c>
      <c r="P39" s="8" t="n">
        <f aca="false">MAX(0,MIN(0.2,(N39-3)/2*0.2))</f>
        <v>0.133333333333333</v>
      </c>
      <c r="Q39" s="9" t="n">
        <f aca="false">G39*12*P39</f>
        <v>3520000</v>
      </c>
      <c r="R39" s="10" t="s">
        <v>60</v>
      </c>
      <c r="S39" s="2" t="s">
        <v>31</v>
      </c>
    </row>
    <row r="40" customFormat="false" ht="26.85" hidden="false" customHeight="false" outlineLevel="0" collapsed="false">
      <c r="A40" s="2" t="s">
        <v>120</v>
      </c>
      <c r="B40" s="3" t="s">
        <v>121</v>
      </c>
      <c r="C40" s="3" t="s">
        <v>44</v>
      </c>
      <c r="D40" s="3" t="s">
        <v>29</v>
      </c>
      <c r="E40" s="3" t="s">
        <v>33</v>
      </c>
      <c r="F40" s="4" t="n">
        <v>45784</v>
      </c>
      <c r="G40" s="5" t="n">
        <v>2200000</v>
      </c>
      <c r="H40" s="6" t="n">
        <v>4</v>
      </c>
      <c r="I40" s="6" t="n">
        <v>3</v>
      </c>
      <c r="J40" s="6" t="n">
        <v>4</v>
      </c>
      <c r="K40" s="6" t="n">
        <v>4</v>
      </c>
      <c r="L40" s="6" t="n">
        <v>5</v>
      </c>
      <c r="M40" s="6" t="n">
        <v>4</v>
      </c>
      <c r="N40" s="7" t="n">
        <f aca="false">AVERAGE(H40:M40)</f>
        <v>4</v>
      </c>
      <c r="O40" s="2" t="str">
        <f aca="false">IF(ROUND(N40,0)&lt;=1,"Deficiente",IF(ROUND(N40,0)=2,"Bajo",IF(ROUND(N40,0)=3,"Satisfactorio",IF(ROUND(N40,0)=4,"Bueno","Excelente"))))</f>
        <v>Bueno</v>
      </c>
      <c r="P40" s="8" t="n">
        <f aca="false">MAX(0,MIN(0.2,(N40-3)/2*0.2))</f>
        <v>0.1</v>
      </c>
      <c r="Q40" s="9" t="n">
        <f aca="false">G40*12*P40</f>
        <v>2640000</v>
      </c>
      <c r="R40" s="10" t="s">
        <v>60</v>
      </c>
      <c r="S40" s="2" t="s">
        <v>31</v>
      </c>
    </row>
    <row r="41" customFormat="false" ht="26.85" hidden="false" customHeight="false" outlineLevel="0" collapsed="false">
      <c r="A41" s="2" t="s">
        <v>122</v>
      </c>
      <c r="B41" s="3" t="s">
        <v>123</v>
      </c>
      <c r="C41" s="3" t="s">
        <v>44</v>
      </c>
      <c r="D41" s="3" t="s">
        <v>29</v>
      </c>
      <c r="E41" s="3" t="s">
        <v>37</v>
      </c>
      <c r="F41" s="4" t="n">
        <v>45794</v>
      </c>
      <c r="G41" s="5" t="n">
        <v>1550000</v>
      </c>
      <c r="H41" s="6" t="n">
        <v>3</v>
      </c>
      <c r="I41" s="6" t="n">
        <v>3</v>
      </c>
      <c r="J41" s="6" t="n">
        <v>2</v>
      </c>
      <c r="K41" s="6" t="n">
        <v>2</v>
      </c>
      <c r="L41" s="6" t="n">
        <v>2</v>
      </c>
      <c r="M41" s="6" t="n">
        <v>2</v>
      </c>
      <c r="N41" s="7" t="n">
        <f aca="false">AVERAGE(H41:M41)</f>
        <v>2.33333333333333</v>
      </c>
      <c r="O41" s="2" t="str">
        <f aca="false">IF(ROUND(N41,0)&lt;=1,"Deficiente",IF(ROUND(N41,0)=2,"Bajo",IF(ROUND(N41,0)=3,"Satisfactorio",IF(ROUND(N41,0)=4,"Bueno","Excelente"))))</f>
        <v>Bajo</v>
      </c>
      <c r="P41" s="8" t="n">
        <f aca="false">MAX(0,MIN(0.2,(N41-3)/2*0.2))</f>
        <v>0</v>
      </c>
      <c r="Q41" s="9" t="n">
        <f aca="false">G41*12*P41</f>
        <v>0</v>
      </c>
      <c r="R41" s="10" t="s">
        <v>88</v>
      </c>
      <c r="S41" s="2" t="s">
        <v>51</v>
      </c>
    </row>
    <row r="42" customFormat="false" ht="39.55" hidden="false" customHeight="false" outlineLevel="0" collapsed="false">
      <c r="A42" s="2" t="s">
        <v>124</v>
      </c>
      <c r="B42" s="3" t="s">
        <v>125</v>
      </c>
      <c r="C42" s="3" t="s">
        <v>44</v>
      </c>
      <c r="D42" s="3" t="s">
        <v>29</v>
      </c>
      <c r="E42" s="3" t="s">
        <v>39</v>
      </c>
      <c r="F42" s="4" t="n">
        <v>45857</v>
      </c>
      <c r="G42" s="5" t="n">
        <v>1400000</v>
      </c>
      <c r="H42" s="6" t="n">
        <v>3</v>
      </c>
      <c r="I42" s="6" t="n">
        <v>3</v>
      </c>
      <c r="J42" s="6" t="n">
        <v>3</v>
      </c>
      <c r="K42" s="6" t="n">
        <v>3</v>
      </c>
      <c r="L42" s="6" t="n">
        <v>3</v>
      </c>
      <c r="M42" s="6" t="n">
        <v>3</v>
      </c>
      <c r="N42" s="7" t="n">
        <f aca="false">AVERAGE(H42:M42)</f>
        <v>3</v>
      </c>
      <c r="O42" s="2" t="str">
        <f aca="false">IF(ROUND(N42,0)&lt;=1,"Deficiente",IF(ROUND(N42,0)=2,"Bajo",IF(ROUND(N42,0)=3,"Satisfactorio",IF(ROUND(N42,0)=4,"Bueno","Excelente"))))</f>
        <v>Satisfactorio</v>
      </c>
      <c r="P42" s="8" t="n">
        <f aca="false">MAX(0,MIN(0.2,(N42-3)/2*0.2))</f>
        <v>0</v>
      </c>
      <c r="Q42" s="9" t="n">
        <f aca="false">G42*12*P42</f>
        <v>0</v>
      </c>
      <c r="R42" s="10" t="s">
        <v>45</v>
      </c>
      <c r="S42" s="2" t="s">
        <v>31</v>
      </c>
    </row>
    <row r="43" customFormat="false" ht="26.85" hidden="false" customHeight="false" outlineLevel="0" collapsed="false">
      <c r="A43" s="2" t="s">
        <v>126</v>
      </c>
      <c r="B43" s="3" t="s">
        <v>127</v>
      </c>
      <c r="C43" s="3" t="s">
        <v>44</v>
      </c>
      <c r="D43" s="3" t="s">
        <v>29</v>
      </c>
      <c r="E43" s="3" t="s">
        <v>41</v>
      </c>
      <c r="F43" s="4" t="n">
        <v>45714</v>
      </c>
      <c r="G43" s="5" t="n">
        <v>2490000</v>
      </c>
      <c r="H43" s="6" t="n">
        <v>4</v>
      </c>
      <c r="I43" s="6" t="n">
        <v>4</v>
      </c>
      <c r="J43" s="6" t="n">
        <v>4</v>
      </c>
      <c r="K43" s="6" t="n">
        <v>4</v>
      </c>
      <c r="L43" s="6" t="n">
        <v>4</v>
      </c>
      <c r="M43" s="6" t="n">
        <v>4</v>
      </c>
      <c r="N43" s="7" t="n">
        <f aca="false">AVERAGE(H43:M43)</f>
        <v>4</v>
      </c>
      <c r="O43" s="2" t="str">
        <f aca="false">IF(ROUND(N43,0)&lt;=1,"Deficiente",IF(ROUND(N43,0)=2,"Bajo",IF(ROUND(N43,0)=3,"Satisfactorio",IF(ROUND(N43,0)=4,"Bueno","Excelente"))))</f>
        <v>Bueno</v>
      </c>
      <c r="P43" s="8" t="n">
        <f aca="false">MAX(0,MIN(0.2,(N43-3)/2*0.2))</f>
        <v>0.1</v>
      </c>
      <c r="Q43" s="9" t="n">
        <f aca="false">G43*12*P43</f>
        <v>2988000</v>
      </c>
      <c r="R43" s="10" t="s">
        <v>35</v>
      </c>
      <c r="S43" s="2" t="s">
        <v>31</v>
      </c>
    </row>
    <row r="44" customFormat="false" ht="26.85" hidden="false" customHeight="false" outlineLevel="0" collapsed="false">
      <c r="A44" s="2" t="s">
        <v>128</v>
      </c>
      <c r="B44" s="3" t="s">
        <v>129</v>
      </c>
      <c r="C44" s="3" t="s">
        <v>44</v>
      </c>
      <c r="D44" s="3" t="s">
        <v>29</v>
      </c>
      <c r="E44" s="3" t="s">
        <v>33</v>
      </c>
      <c r="F44" s="4" t="n">
        <v>45737</v>
      </c>
      <c r="G44" s="5" t="n">
        <v>1880000</v>
      </c>
      <c r="H44" s="6" t="n">
        <v>4</v>
      </c>
      <c r="I44" s="6" t="n">
        <v>4</v>
      </c>
      <c r="J44" s="6" t="n">
        <v>5</v>
      </c>
      <c r="K44" s="6" t="n">
        <v>4</v>
      </c>
      <c r="L44" s="6" t="n">
        <v>4</v>
      </c>
      <c r="M44" s="6" t="n">
        <v>4</v>
      </c>
      <c r="N44" s="7" t="n">
        <f aca="false">AVERAGE(H44:M44)</f>
        <v>4.16666666666667</v>
      </c>
      <c r="O44" s="2" t="str">
        <f aca="false">IF(ROUND(N44,0)&lt;=1,"Deficiente",IF(ROUND(N44,0)=2,"Bajo",IF(ROUND(N44,0)=3,"Satisfactorio",IF(ROUND(N44,0)=4,"Bueno","Excelente"))))</f>
        <v>Bueno</v>
      </c>
      <c r="P44" s="8" t="n">
        <f aca="false">MAX(0,MIN(0.2,(N44-3)/2*0.2))</f>
        <v>0.116666666666667</v>
      </c>
      <c r="Q44" s="9" t="n">
        <f aca="false">G44*12*P44</f>
        <v>2632000</v>
      </c>
      <c r="R44" s="10" t="s">
        <v>35</v>
      </c>
      <c r="S44" s="2" t="s">
        <v>31</v>
      </c>
    </row>
    <row r="45" customFormat="false" ht="26.85" hidden="false" customHeight="false" outlineLevel="0" collapsed="false">
      <c r="A45" s="2" t="s">
        <v>130</v>
      </c>
      <c r="B45" s="3" t="s">
        <v>131</v>
      </c>
      <c r="C45" s="3" t="s">
        <v>44</v>
      </c>
      <c r="D45" s="3" t="s">
        <v>29</v>
      </c>
      <c r="E45" s="3" t="s">
        <v>37</v>
      </c>
      <c r="F45" s="4" t="n">
        <v>45863</v>
      </c>
      <c r="G45" s="5" t="n">
        <v>2290000</v>
      </c>
      <c r="H45" s="6" t="n">
        <v>5</v>
      </c>
      <c r="I45" s="6" t="n">
        <v>5</v>
      </c>
      <c r="J45" s="6" t="n">
        <v>5</v>
      </c>
      <c r="K45" s="6" t="n">
        <v>5</v>
      </c>
      <c r="L45" s="6" t="n">
        <v>4</v>
      </c>
      <c r="M45" s="6" t="n">
        <v>4</v>
      </c>
      <c r="N45" s="7" t="n">
        <f aca="false">AVERAGE(H45:M45)</f>
        <v>4.66666666666667</v>
      </c>
      <c r="O45" s="2" t="str">
        <f aca="false">IF(ROUND(N45,0)&lt;=1,"Deficiente",IF(ROUND(N45,0)=2,"Bajo",IF(ROUND(N45,0)=3,"Satisfactorio",IF(ROUND(N45,0)=4,"Bueno","Excelente"))))</f>
        <v>Excelente</v>
      </c>
      <c r="P45" s="8" t="n">
        <f aca="false">MAX(0,MIN(0.2,(N45-3)/2*0.2))</f>
        <v>0.166666666666667</v>
      </c>
      <c r="Q45" s="9" t="n">
        <f aca="false">G45*12*P45</f>
        <v>4580000</v>
      </c>
      <c r="R45" s="10" t="s">
        <v>30</v>
      </c>
      <c r="S45" s="2" t="s">
        <v>31</v>
      </c>
    </row>
    <row r="46" customFormat="false" ht="26.85" hidden="false" customHeight="false" outlineLevel="0" collapsed="false">
      <c r="A46" s="2" t="s">
        <v>132</v>
      </c>
      <c r="B46" s="3" t="s">
        <v>133</v>
      </c>
      <c r="C46" s="3" t="s">
        <v>44</v>
      </c>
      <c r="D46" s="3" t="s">
        <v>29</v>
      </c>
      <c r="E46" s="3" t="s">
        <v>39</v>
      </c>
      <c r="F46" s="4" t="n">
        <v>45817</v>
      </c>
      <c r="G46" s="5" t="n">
        <v>1710000</v>
      </c>
      <c r="H46" s="6" t="n">
        <v>4</v>
      </c>
      <c r="I46" s="6" t="n">
        <v>3</v>
      </c>
      <c r="J46" s="6" t="n">
        <v>3</v>
      </c>
      <c r="K46" s="6" t="n">
        <v>4</v>
      </c>
      <c r="L46" s="6" t="n">
        <v>4</v>
      </c>
      <c r="M46" s="6" t="n">
        <v>4</v>
      </c>
      <c r="N46" s="7" t="n">
        <f aca="false">AVERAGE(H46:M46)</f>
        <v>3.66666666666667</v>
      </c>
      <c r="O46" s="2" t="str">
        <f aca="false">IF(ROUND(N46,0)&lt;=1,"Deficiente",IF(ROUND(N46,0)=2,"Bajo",IF(ROUND(N46,0)=3,"Satisfactorio",IF(ROUND(N46,0)=4,"Bueno","Excelente"))))</f>
        <v>Bueno</v>
      </c>
      <c r="P46" s="8" t="n">
        <f aca="false">MAX(0,MIN(0.2,(N46-3)/2*0.2))</f>
        <v>0.0666666666666667</v>
      </c>
      <c r="Q46" s="9" t="n">
        <f aca="false">G46*12*P46</f>
        <v>1368000</v>
      </c>
      <c r="R46" s="10" t="s">
        <v>24</v>
      </c>
      <c r="S46" s="2" t="s">
        <v>31</v>
      </c>
    </row>
    <row r="47" customFormat="false" ht="39.55" hidden="false" customHeight="false" outlineLevel="0" collapsed="false">
      <c r="A47" s="2" t="s">
        <v>134</v>
      </c>
      <c r="B47" s="3" t="s">
        <v>135</v>
      </c>
      <c r="C47" s="3" t="s">
        <v>44</v>
      </c>
      <c r="D47" s="3" t="s">
        <v>29</v>
      </c>
      <c r="E47" s="3" t="s">
        <v>41</v>
      </c>
      <c r="F47" s="4" t="n">
        <v>45742</v>
      </c>
      <c r="G47" s="5" t="n">
        <v>2530000</v>
      </c>
      <c r="H47" s="6" t="n">
        <v>3</v>
      </c>
      <c r="I47" s="6" t="n">
        <v>3</v>
      </c>
      <c r="J47" s="6" t="n">
        <v>3</v>
      </c>
      <c r="K47" s="6" t="n">
        <v>4</v>
      </c>
      <c r="L47" s="6" t="n">
        <v>4</v>
      </c>
      <c r="M47" s="6" t="n">
        <v>3</v>
      </c>
      <c r="N47" s="7" t="n">
        <f aca="false">AVERAGE(H47:M47)</f>
        <v>3.33333333333333</v>
      </c>
      <c r="O47" s="2" t="str">
        <f aca="false">IF(ROUND(N47,0)&lt;=1,"Deficiente",IF(ROUND(N47,0)=2,"Bajo",IF(ROUND(N47,0)=3,"Satisfactorio",IF(ROUND(N47,0)=4,"Bueno","Excelente"))))</f>
        <v>Satisfactorio</v>
      </c>
      <c r="P47" s="8" t="n">
        <f aca="false">MAX(0,MIN(0.2,(N47-3)/2*0.2))</f>
        <v>0.0333333333333334</v>
      </c>
      <c r="Q47" s="9" t="n">
        <f aca="false">G47*12*P47</f>
        <v>1012000</v>
      </c>
      <c r="R47" s="10" t="s">
        <v>45</v>
      </c>
      <c r="S47" s="2" t="s">
        <v>31</v>
      </c>
    </row>
    <row r="48" customFormat="false" ht="26.85" hidden="false" customHeight="false" outlineLevel="0" collapsed="false">
      <c r="A48" s="2" t="s">
        <v>136</v>
      </c>
      <c r="B48" s="3" t="s">
        <v>137</v>
      </c>
      <c r="C48" s="3" t="s">
        <v>44</v>
      </c>
      <c r="D48" s="3" t="s">
        <v>29</v>
      </c>
      <c r="E48" s="3" t="s">
        <v>33</v>
      </c>
      <c r="F48" s="4" t="n">
        <v>45747</v>
      </c>
      <c r="G48" s="5" t="n">
        <v>2060000</v>
      </c>
      <c r="H48" s="6" t="n">
        <v>4</v>
      </c>
      <c r="I48" s="6" t="n">
        <v>4</v>
      </c>
      <c r="J48" s="6" t="n">
        <v>4</v>
      </c>
      <c r="K48" s="6" t="n">
        <v>5</v>
      </c>
      <c r="L48" s="6" t="n">
        <v>4</v>
      </c>
      <c r="M48" s="6" t="n">
        <v>4</v>
      </c>
      <c r="N48" s="7" t="n">
        <f aca="false">AVERAGE(H48:M48)</f>
        <v>4.16666666666667</v>
      </c>
      <c r="O48" s="2" t="str">
        <f aca="false">IF(ROUND(N48,0)&lt;=1,"Deficiente",IF(ROUND(N48,0)=2,"Bajo",IF(ROUND(N48,0)=3,"Satisfactorio",IF(ROUND(N48,0)=4,"Bueno","Excelente"))))</f>
        <v>Bueno</v>
      </c>
      <c r="P48" s="8" t="n">
        <f aca="false">MAX(0,MIN(0.2,(N48-3)/2*0.2))</f>
        <v>0.116666666666667</v>
      </c>
      <c r="Q48" s="9" t="n">
        <f aca="false">G48*12*P48</f>
        <v>2884000</v>
      </c>
      <c r="R48" s="10" t="s">
        <v>24</v>
      </c>
      <c r="S48" s="2" t="s">
        <v>31</v>
      </c>
    </row>
    <row r="49" customFormat="false" ht="26.85" hidden="false" customHeight="false" outlineLevel="0" collapsed="false">
      <c r="A49" s="2" t="s">
        <v>138</v>
      </c>
      <c r="B49" s="3" t="s">
        <v>139</v>
      </c>
      <c r="C49" s="3" t="s">
        <v>44</v>
      </c>
      <c r="D49" s="3" t="s">
        <v>29</v>
      </c>
      <c r="E49" s="3" t="s">
        <v>37</v>
      </c>
      <c r="F49" s="4" t="n">
        <v>45742</v>
      </c>
      <c r="G49" s="5" t="n">
        <v>1980000</v>
      </c>
      <c r="H49" s="6" t="n">
        <v>5</v>
      </c>
      <c r="I49" s="6" t="n">
        <v>4</v>
      </c>
      <c r="J49" s="6" t="n">
        <v>4</v>
      </c>
      <c r="K49" s="6" t="n">
        <v>4</v>
      </c>
      <c r="L49" s="6" t="n">
        <v>4</v>
      </c>
      <c r="M49" s="6" t="n">
        <v>4</v>
      </c>
      <c r="N49" s="7" t="n">
        <f aca="false">AVERAGE(H49:M49)</f>
        <v>4.16666666666667</v>
      </c>
      <c r="O49" s="2" t="str">
        <f aca="false">IF(ROUND(N49,0)&lt;=1,"Deficiente",IF(ROUND(N49,0)=2,"Bajo",IF(ROUND(N49,0)=3,"Satisfactorio",IF(ROUND(N49,0)=4,"Bueno","Excelente"))))</f>
        <v>Bueno</v>
      </c>
      <c r="P49" s="8" t="n">
        <f aca="false">MAX(0,MIN(0.2,(N49-3)/2*0.2))</f>
        <v>0.116666666666667</v>
      </c>
      <c r="Q49" s="9" t="n">
        <f aca="false">G49*12*P49</f>
        <v>2772000</v>
      </c>
      <c r="R49" s="10" t="s">
        <v>60</v>
      </c>
      <c r="S49" s="2" t="s">
        <v>31</v>
      </c>
    </row>
    <row r="50" customFormat="false" ht="26.85" hidden="false" customHeight="false" outlineLevel="0" collapsed="false">
      <c r="A50" s="2" t="s">
        <v>140</v>
      </c>
      <c r="B50" s="3" t="s">
        <v>141</v>
      </c>
      <c r="C50" s="3" t="s">
        <v>44</v>
      </c>
      <c r="D50" s="3" t="s">
        <v>29</v>
      </c>
      <c r="E50" s="3" t="s">
        <v>39</v>
      </c>
      <c r="F50" s="4" t="n">
        <v>45848</v>
      </c>
      <c r="G50" s="5" t="n">
        <v>2040000</v>
      </c>
      <c r="H50" s="6" t="n">
        <v>3</v>
      </c>
      <c r="I50" s="6" t="n">
        <v>3</v>
      </c>
      <c r="J50" s="6" t="n">
        <v>3</v>
      </c>
      <c r="K50" s="6" t="n">
        <v>3</v>
      </c>
      <c r="L50" s="6" t="n">
        <v>3</v>
      </c>
      <c r="M50" s="6" t="n">
        <v>3</v>
      </c>
      <c r="N50" s="7" t="n">
        <f aca="false">AVERAGE(H50:M50)</f>
        <v>3</v>
      </c>
      <c r="O50" s="2" t="str">
        <f aca="false">IF(ROUND(N50,0)&lt;=1,"Deficiente",IF(ROUND(N50,0)=2,"Bajo",IF(ROUND(N50,0)=3,"Satisfactorio",IF(ROUND(N50,0)=4,"Bueno","Excelente"))))</f>
        <v>Satisfactorio</v>
      </c>
      <c r="P50" s="8" t="n">
        <f aca="false">MAX(0,MIN(0.2,(N50-3)/2*0.2))</f>
        <v>0</v>
      </c>
      <c r="Q50" s="9" t="n">
        <f aca="false">G50*12*P50</f>
        <v>0</v>
      </c>
      <c r="R50" s="10" t="s">
        <v>112</v>
      </c>
      <c r="S50" s="2" t="s">
        <v>31</v>
      </c>
    </row>
    <row r="51" customFormat="false" ht="26.85" hidden="false" customHeight="false" outlineLevel="0" collapsed="false">
      <c r="A51" s="2" t="s">
        <v>142</v>
      </c>
      <c r="B51" s="3" t="s">
        <v>143</v>
      </c>
      <c r="C51" s="3" t="s">
        <v>44</v>
      </c>
      <c r="D51" s="3" t="s">
        <v>29</v>
      </c>
      <c r="E51" s="3" t="s">
        <v>41</v>
      </c>
      <c r="F51" s="4" t="n">
        <v>45809</v>
      </c>
      <c r="G51" s="5" t="n">
        <v>2520000</v>
      </c>
      <c r="H51" s="6" t="n">
        <v>3</v>
      </c>
      <c r="I51" s="6" t="n">
        <v>5</v>
      </c>
      <c r="J51" s="6" t="n">
        <v>4</v>
      </c>
      <c r="K51" s="6" t="n">
        <v>4</v>
      </c>
      <c r="L51" s="6" t="n">
        <v>4</v>
      </c>
      <c r="M51" s="6" t="n">
        <v>4</v>
      </c>
      <c r="N51" s="7" t="n">
        <f aca="false">AVERAGE(H51:M51)</f>
        <v>4</v>
      </c>
      <c r="O51" s="2" t="str">
        <f aca="false">IF(ROUND(N51,0)&lt;=1,"Deficiente",IF(ROUND(N51,0)=2,"Bajo",IF(ROUND(N51,0)=3,"Satisfactorio",IF(ROUND(N51,0)=4,"Bueno","Excelente"))))</f>
        <v>Bueno</v>
      </c>
      <c r="P51" s="8" t="n">
        <f aca="false">MAX(0,MIN(0.2,(N51-3)/2*0.2))</f>
        <v>0.1</v>
      </c>
      <c r="Q51" s="9" t="n">
        <f aca="false">G51*12*P51</f>
        <v>3024000</v>
      </c>
      <c r="R51" s="10" t="s">
        <v>60</v>
      </c>
      <c r="S51" s="2" t="s">
        <v>31</v>
      </c>
    </row>
    <row r="52" customFormat="false" ht="26.85" hidden="false" customHeight="false" outlineLevel="0" collapsed="false">
      <c r="A52" s="2" t="s">
        <v>144</v>
      </c>
      <c r="B52" s="3" t="s">
        <v>145</v>
      </c>
      <c r="C52" s="3" t="s">
        <v>44</v>
      </c>
      <c r="D52" s="3" t="s">
        <v>29</v>
      </c>
      <c r="E52" s="3" t="s">
        <v>33</v>
      </c>
      <c r="F52" s="4" t="n">
        <v>45771</v>
      </c>
      <c r="G52" s="5" t="n">
        <v>2150000</v>
      </c>
      <c r="H52" s="6" t="n">
        <v>4</v>
      </c>
      <c r="I52" s="6" t="n">
        <v>4</v>
      </c>
      <c r="J52" s="6" t="n">
        <v>5</v>
      </c>
      <c r="K52" s="6" t="n">
        <v>4</v>
      </c>
      <c r="L52" s="6" t="n">
        <v>4</v>
      </c>
      <c r="M52" s="6" t="n">
        <v>4</v>
      </c>
      <c r="N52" s="7" t="n">
        <f aca="false">AVERAGE(H52:M52)</f>
        <v>4.16666666666667</v>
      </c>
      <c r="O52" s="2" t="str">
        <f aca="false">IF(ROUND(N52,0)&lt;=1,"Deficiente",IF(ROUND(N52,0)=2,"Bajo",IF(ROUND(N52,0)=3,"Satisfactorio",IF(ROUND(N52,0)=4,"Bueno","Excelente"))))</f>
        <v>Bueno</v>
      </c>
      <c r="P52" s="8" t="n">
        <f aca="false">MAX(0,MIN(0.2,(N52-3)/2*0.2))</f>
        <v>0.116666666666667</v>
      </c>
      <c r="Q52" s="9" t="n">
        <f aca="false">G52*12*P52</f>
        <v>3010000</v>
      </c>
      <c r="R52" s="10" t="s">
        <v>60</v>
      </c>
      <c r="S52" s="2" t="s">
        <v>31</v>
      </c>
    </row>
    <row r="53" customFormat="false" ht="26.85" hidden="false" customHeight="false" outlineLevel="0" collapsed="false">
      <c r="A53" s="2" t="s">
        <v>146</v>
      </c>
      <c r="B53" s="3" t="s">
        <v>147</v>
      </c>
      <c r="C53" s="3" t="s">
        <v>44</v>
      </c>
      <c r="D53" s="3" t="s">
        <v>29</v>
      </c>
      <c r="E53" s="3" t="s">
        <v>37</v>
      </c>
      <c r="F53" s="4" t="n">
        <v>45758</v>
      </c>
      <c r="G53" s="5" t="n">
        <v>1730000</v>
      </c>
      <c r="H53" s="6" t="n">
        <v>4</v>
      </c>
      <c r="I53" s="6" t="n">
        <v>4</v>
      </c>
      <c r="J53" s="6" t="n">
        <v>4</v>
      </c>
      <c r="K53" s="6" t="n">
        <v>4</v>
      </c>
      <c r="L53" s="6" t="n">
        <v>3</v>
      </c>
      <c r="M53" s="6" t="n">
        <v>4</v>
      </c>
      <c r="N53" s="7" t="n">
        <f aca="false">AVERAGE(H53:M53)</f>
        <v>3.83333333333333</v>
      </c>
      <c r="O53" s="2" t="str">
        <f aca="false">IF(ROUND(N53,0)&lt;=1,"Deficiente",IF(ROUND(N53,0)=2,"Bajo",IF(ROUND(N53,0)=3,"Satisfactorio",IF(ROUND(N53,0)=4,"Bueno","Excelente"))))</f>
        <v>Bueno</v>
      </c>
      <c r="P53" s="8" t="n">
        <f aca="false">MAX(0,MIN(0.2,(N53-3)/2*0.2))</f>
        <v>0.0833333333333334</v>
      </c>
      <c r="Q53" s="9" t="n">
        <f aca="false">G53*12*P53</f>
        <v>1730000</v>
      </c>
      <c r="R53" s="10" t="s">
        <v>60</v>
      </c>
      <c r="S53" s="2" t="s">
        <v>31</v>
      </c>
    </row>
    <row r="54" customFormat="false" ht="39.55" hidden="false" customHeight="false" outlineLevel="0" collapsed="false">
      <c r="A54" s="2" t="s">
        <v>148</v>
      </c>
      <c r="B54" s="3" t="s">
        <v>149</v>
      </c>
      <c r="C54" s="3" t="s">
        <v>44</v>
      </c>
      <c r="D54" s="3" t="s">
        <v>29</v>
      </c>
      <c r="E54" s="3" t="s">
        <v>39</v>
      </c>
      <c r="F54" s="4" t="n">
        <v>45894</v>
      </c>
      <c r="G54" s="5" t="n">
        <v>2440000</v>
      </c>
      <c r="H54" s="6" t="n">
        <v>3</v>
      </c>
      <c r="I54" s="6" t="n">
        <v>4</v>
      </c>
      <c r="J54" s="6" t="n">
        <v>4</v>
      </c>
      <c r="K54" s="6" t="n">
        <v>3</v>
      </c>
      <c r="L54" s="6" t="n">
        <v>3</v>
      </c>
      <c r="M54" s="6" t="n">
        <v>3</v>
      </c>
      <c r="N54" s="7" t="n">
        <f aca="false">AVERAGE(H54:M54)</f>
        <v>3.33333333333333</v>
      </c>
      <c r="O54" s="2" t="str">
        <f aca="false">IF(ROUND(N54,0)&lt;=1,"Deficiente",IF(ROUND(N54,0)=2,"Bajo",IF(ROUND(N54,0)=3,"Satisfactorio",IF(ROUND(N54,0)=4,"Bueno","Excelente"))))</f>
        <v>Satisfactorio</v>
      </c>
      <c r="P54" s="8" t="n">
        <f aca="false">MAX(0,MIN(0.2,(N54-3)/2*0.2))</f>
        <v>0.0333333333333334</v>
      </c>
      <c r="Q54" s="9" t="n">
        <f aca="false">G54*12*P54</f>
        <v>976000</v>
      </c>
      <c r="R54" s="10" t="s">
        <v>45</v>
      </c>
      <c r="S54" s="2" t="s">
        <v>51</v>
      </c>
    </row>
    <row r="55" customFormat="false" ht="26.85" hidden="false" customHeight="false" outlineLevel="0" collapsed="false">
      <c r="A55" s="2" t="s">
        <v>150</v>
      </c>
      <c r="B55" s="3" t="s">
        <v>151</v>
      </c>
      <c r="C55" s="3" t="s">
        <v>44</v>
      </c>
      <c r="D55" s="3" t="s">
        <v>29</v>
      </c>
      <c r="E55" s="3" t="s">
        <v>41</v>
      </c>
      <c r="F55" s="4" t="n">
        <v>45671</v>
      </c>
      <c r="G55" s="5" t="n">
        <v>2290000</v>
      </c>
      <c r="H55" s="6" t="n">
        <v>4</v>
      </c>
      <c r="I55" s="6" t="n">
        <v>5</v>
      </c>
      <c r="J55" s="6" t="n">
        <v>4</v>
      </c>
      <c r="K55" s="6" t="n">
        <v>4</v>
      </c>
      <c r="L55" s="6" t="n">
        <v>4</v>
      </c>
      <c r="M55" s="6" t="n">
        <v>4</v>
      </c>
      <c r="N55" s="7" t="n">
        <f aca="false">AVERAGE(H55:M55)</f>
        <v>4.16666666666667</v>
      </c>
      <c r="O55" s="2" t="str">
        <f aca="false">IF(ROUND(N55,0)&lt;=1,"Deficiente",IF(ROUND(N55,0)=2,"Bajo",IF(ROUND(N55,0)=3,"Satisfactorio",IF(ROUND(N55,0)=4,"Bueno","Excelente"))))</f>
        <v>Bueno</v>
      </c>
      <c r="P55" s="8" t="n">
        <f aca="false">MAX(0,MIN(0.2,(N55-3)/2*0.2))</f>
        <v>0.116666666666667</v>
      </c>
      <c r="Q55" s="9" t="n">
        <f aca="false">G55*12*P55</f>
        <v>3206000</v>
      </c>
      <c r="R55" s="10" t="s">
        <v>35</v>
      </c>
      <c r="S55" s="2" t="s">
        <v>31</v>
      </c>
    </row>
    <row r="56" customFormat="false" ht="39.55" hidden="false" customHeight="false" outlineLevel="0" collapsed="false">
      <c r="A56" s="2" t="s">
        <v>152</v>
      </c>
      <c r="B56" s="3" t="s">
        <v>153</v>
      </c>
      <c r="C56" s="3" t="s">
        <v>44</v>
      </c>
      <c r="D56" s="3" t="s">
        <v>29</v>
      </c>
      <c r="E56" s="3" t="s">
        <v>33</v>
      </c>
      <c r="F56" s="4" t="n">
        <v>45869</v>
      </c>
      <c r="G56" s="5" t="n">
        <v>1930000</v>
      </c>
      <c r="H56" s="6" t="n">
        <v>4</v>
      </c>
      <c r="I56" s="6" t="n">
        <v>4</v>
      </c>
      <c r="J56" s="6" t="n">
        <v>3</v>
      </c>
      <c r="K56" s="6" t="n">
        <v>3</v>
      </c>
      <c r="L56" s="6" t="n">
        <v>3</v>
      </c>
      <c r="M56" s="6" t="n">
        <v>3</v>
      </c>
      <c r="N56" s="7" t="n">
        <f aca="false">AVERAGE(H56:M56)</f>
        <v>3.33333333333333</v>
      </c>
      <c r="O56" s="2" t="str">
        <f aca="false">IF(ROUND(N56,0)&lt;=1,"Deficiente",IF(ROUND(N56,0)=2,"Bajo",IF(ROUND(N56,0)=3,"Satisfactorio",IF(ROUND(N56,0)=4,"Bueno","Excelente"))))</f>
        <v>Satisfactorio</v>
      </c>
      <c r="P56" s="8" t="n">
        <f aca="false">MAX(0,MIN(0.2,(N56-3)/2*0.2))</f>
        <v>0.0333333333333334</v>
      </c>
      <c r="Q56" s="9" t="n">
        <f aca="false">G56*12*P56</f>
        <v>772000</v>
      </c>
      <c r="R56" s="10" t="s">
        <v>45</v>
      </c>
      <c r="S56" s="2" t="s">
        <v>31</v>
      </c>
    </row>
    <row r="57" customFormat="false" ht="39.55" hidden="false" customHeight="false" outlineLevel="0" collapsed="false">
      <c r="A57" s="2" t="s">
        <v>154</v>
      </c>
      <c r="B57" s="3" t="s">
        <v>155</v>
      </c>
      <c r="C57" s="3" t="s">
        <v>44</v>
      </c>
      <c r="D57" s="3" t="s">
        <v>29</v>
      </c>
      <c r="E57" s="3" t="s">
        <v>37</v>
      </c>
      <c r="F57" s="4" t="n">
        <v>45667</v>
      </c>
      <c r="G57" s="5" t="n">
        <v>2410000</v>
      </c>
      <c r="H57" s="6" t="n">
        <v>3</v>
      </c>
      <c r="I57" s="6" t="n">
        <v>2</v>
      </c>
      <c r="J57" s="6" t="n">
        <v>3</v>
      </c>
      <c r="K57" s="6" t="n">
        <v>2</v>
      </c>
      <c r="L57" s="6" t="n">
        <v>2</v>
      </c>
      <c r="M57" s="6" t="n">
        <v>2</v>
      </c>
      <c r="N57" s="7" t="n">
        <f aca="false">AVERAGE(H57:M57)</f>
        <v>2.33333333333333</v>
      </c>
      <c r="O57" s="2" t="str">
        <f aca="false">IF(ROUND(N57,0)&lt;=1,"Deficiente",IF(ROUND(N57,0)=2,"Bajo",IF(ROUND(N57,0)=3,"Satisfactorio",IF(ROUND(N57,0)=4,"Bueno","Excelente"))))</f>
        <v>Bajo</v>
      </c>
      <c r="P57" s="8" t="n">
        <f aca="false">MAX(0,MIN(0.2,(N57-3)/2*0.2))</f>
        <v>0</v>
      </c>
      <c r="Q57" s="9" t="n">
        <f aca="false">G57*12*P57</f>
        <v>0</v>
      </c>
      <c r="R57" s="10" t="s">
        <v>72</v>
      </c>
      <c r="S57" s="2" t="s">
        <v>51</v>
      </c>
    </row>
    <row r="58" customFormat="false" ht="26.85" hidden="false" customHeight="false" outlineLevel="0" collapsed="false">
      <c r="A58" s="2" t="s">
        <v>156</v>
      </c>
      <c r="B58" s="3" t="s">
        <v>157</v>
      </c>
      <c r="C58" s="3" t="s">
        <v>44</v>
      </c>
      <c r="D58" s="3" t="s">
        <v>29</v>
      </c>
      <c r="E58" s="3" t="s">
        <v>39</v>
      </c>
      <c r="F58" s="4" t="n">
        <v>45687</v>
      </c>
      <c r="G58" s="5" t="n">
        <v>1950000</v>
      </c>
      <c r="H58" s="6" t="n">
        <v>3</v>
      </c>
      <c r="I58" s="6" t="n">
        <v>4</v>
      </c>
      <c r="J58" s="6" t="n">
        <v>3</v>
      </c>
      <c r="K58" s="6" t="n">
        <v>3</v>
      </c>
      <c r="L58" s="6" t="n">
        <v>3</v>
      </c>
      <c r="M58" s="6" t="n">
        <v>4</v>
      </c>
      <c r="N58" s="7" t="n">
        <f aca="false">AVERAGE(H58:M58)</f>
        <v>3.33333333333333</v>
      </c>
      <c r="O58" s="2" t="str">
        <f aca="false">IF(ROUND(N58,0)&lt;=1,"Deficiente",IF(ROUND(N58,0)=2,"Bajo",IF(ROUND(N58,0)=3,"Satisfactorio",IF(ROUND(N58,0)=4,"Bueno","Excelente"))))</f>
        <v>Satisfactorio</v>
      </c>
      <c r="P58" s="8" t="n">
        <f aca="false">MAX(0,MIN(0.2,(N58-3)/2*0.2))</f>
        <v>0.0333333333333334</v>
      </c>
      <c r="Q58" s="9" t="n">
        <f aca="false">G58*12*P58</f>
        <v>780000</v>
      </c>
      <c r="R58" s="10" t="s">
        <v>112</v>
      </c>
      <c r="S58" s="2" t="s">
        <v>51</v>
      </c>
    </row>
    <row r="59" customFormat="false" ht="39.55" hidden="false" customHeight="false" outlineLevel="0" collapsed="false">
      <c r="A59" s="2" t="s">
        <v>158</v>
      </c>
      <c r="B59" s="3" t="s">
        <v>159</v>
      </c>
      <c r="C59" s="3" t="s">
        <v>44</v>
      </c>
      <c r="D59" s="3" t="s">
        <v>29</v>
      </c>
      <c r="E59" s="3" t="s">
        <v>41</v>
      </c>
      <c r="F59" s="4" t="n">
        <v>45685</v>
      </c>
      <c r="G59" s="5" t="n">
        <v>1690000</v>
      </c>
      <c r="H59" s="6" t="n">
        <v>2</v>
      </c>
      <c r="I59" s="6" t="n">
        <v>2</v>
      </c>
      <c r="J59" s="6" t="n">
        <v>2</v>
      </c>
      <c r="K59" s="6" t="n">
        <v>2</v>
      </c>
      <c r="L59" s="6" t="n">
        <v>3</v>
      </c>
      <c r="M59" s="6" t="n">
        <v>2</v>
      </c>
      <c r="N59" s="7" t="n">
        <f aca="false">AVERAGE(H59:M59)</f>
        <v>2.16666666666667</v>
      </c>
      <c r="O59" s="2" t="str">
        <f aca="false">IF(ROUND(N59,0)&lt;=1,"Deficiente",IF(ROUND(N59,0)=2,"Bajo",IF(ROUND(N59,0)=3,"Satisfactorio",IF(ROUND(N59,0)=4,"Bueno","Excelente"))))</f>
        <v>Bajo</v>
      </c>
      <c r="P59" s="8" t="n">
        <f aca="false">MAX(0,MIN(0.2,(N59-3)/2*0.2))</f>
        <v>0</v>
      </c>
      <c r="Q59" s="9" t="n">
        <f aca="false">G59*12*P59</f>
        <v>0</v>
      </c>
      <c r="R59" s="10" t="s">
        <v>97</v>
      </c>
      <c r="S59" s="2" t="s">
        <v>57</v>
      </c>
    </row>
    <row r="60" customFormat="false" ht="26.85" hidden="false" customHeight="false" outlineLevel="0" collapsed="false">
      <c r="A60" s="2" t="s">
        <v>160</v>
      </c>
      <c r="B60" s="3" t="s">
        <v>161</v>
      </c>
      <c r="C60" s="3" t="s">
        <v>44</v>
      </c>
      <c r="D60" s="3" t="s">
        <v>29</v>
      </c>
      <c r="E60" s="3" t="s">
        <v>33</v>
      </c>
      <c r="F60" s="4" t="n">
        <v>45758</v>
      </c>
      <c r="G60" s="5" t="n">
        <v>2370000</v>
      </c>
      <c r="H60" s="6" t="n">
        <v>3</v>
      </c>
      <c r="I60" s="6" t="n">
        <v>3</v>
      </c>
      <c r="J60" s="6" t="n">
        <v>4</v>
      </c>
      <c r="K60" s="6" t="n">
        <v>3</v>
      </c>
      <c r="L60" s="6" t="n">
        <v>3</v>
      </c>
      <c r="M60" s="6" t="n">
        <v>3</v>
      </c>
      <c r="N60" s="7" t="n">
        <f aca="false">AVERAGE(H60:M60)</f>
        <v>3.16666666666667</v>
      </c>
      <c r="O60" s="2" t="str">
        <f aca="false">IF(ROUND(N60,0)&lt;=1,"Deficiente",IF(ROUND(N60,0)=2,"Bajo",IF(ROUND(N60,0)=3,"Satisfactorio",IF(ROUND(N60,0)=4,"Bueno","Excelente"))))</f>
        <v>Satisfactorio</v>
      </c>
      <c r="P60" s="8" t="n">
        <f aca="false">MAX(0,MIN(0.2,(N60-3)/2*0.2))</f>
        <v>0.0166666666666667</v>
      </c>
      <c r="Q60" s="9" t="n">
        <f aca="false">G60*12*P60</f>
        <v>474000</v>
      </c>
      <c r="R60" s="10" t="s">
        <v>50</v>
      </c>
      <c r="S60" s="2" t="s">
        <v>31</v>
      </c>
    </row>
    <row r="61" customFormat="false" ht="39.55" hidden="false" customHeight="false" outlineLevel="0" collapsed="false">
      <c r="A61" s="2" t="s">
        <v>162</v>
      </c>
      <c r="B61" s="3" t="s">
        <v>163</v>
      </c>
      <c r="C61" s="3" t="s">
        <v>164</v>
      </c>
      <c r="D61" s="3" t="s">
        <v>165</v>
      </c>
      <c r="E61" s="3" t="s">
        <v>20</v>
      </c>
      <c r="F61" s="4" t="n">
        <v>45899</v>
      </c>
      <c r="G61" s="5" t="n">
        <v>9230000</v>
      </c>
      <c r="H61" s="6" t="n">
        <v>5</v>
      </c>
      <c r="I61" s="6" t="n">
        <v>5</v>
      </c>
      <c r="J61" s="6" t="n">
        <v>5</v>
      </c>
      <c r="K61" s="6" t="n">
        <v>5</v>
      </c>
      <c r="L61" s="6" t="n">
        <v>5</v>
      </c>
      <c r="M61" s="6" t="n">
        <v>5</v>
      </c>
      <c r="N61" s="7" t="n">
        <f aca="false">AVERAGE(H61:M61)</f>
        <v>5</v>
      </c>
      <c r="O61" s="2" t="str">
        <f aca="false">IF(ROUND(N61,0)&lt;=1,"Deficiente",IF(ROUND(N61,0)=2,"Bajo",IF(ROUND(N61,0)=3,"Satisfactorio",IF(ROUND(N61,0)=4,"Bueno","Excelente"))))</f>
        <v>Excelente</v>
      </c>
      <c r="P61" s="8" t="n">
        <f aca="false">MAX(0,MIN(0.2,(N61-3)/2*0.2))</f>
        <v>0.2</v>
      </c>
      <c r="Q61" s="9" t="n">
        <f aca="false">G61*12*P61</f>
        <v>22152000</v>
      </c>
      <c r="R61" s="10" t="s">
        <v>67</v>
      </c>
      <c r="S61" s="2" t="s">
        <v>25</v>
      </c>
    </row>
    <row r="62" customFormat="false" ht="26.85" hidden="false" customHeight="false" outlineLevel="0" collapsed="false">
      <c r="A62" s="2" t="s">
        <v>166</v>
      </c>
      <c r="B62" s="3" t="s">
        <v>167</v>
      </c>
      <c r="C62" s="3" t="s">
        <v>168</v>
      </c>
      <c r="D62" s="3" t="s">
        <v>165</v>
      </c>
      <c r="E62" s="3" t="s">
        <v>164</v>
      </c>
      <c r="F62" s="4" t="n">
        <v>45850</v>
      </c>
      <c r="G62" s="5" t="n">
        <v>4090000</v>
      </c>
      <c r="H62" s="6" t="n">
        <v>5</v>
      </c>
      <c r="I62" s="6" t="n">
        <v>5</v>
      </c>
      <c r="J62" s="6" t="n">
        <v>5</v>
      </c>
      <c r="K62" s="6" t="n">
        <v>5</v>
      </c>
      <c r="L62" s="6" t="n">
        <v>5</v>
      </c>
      <c r="M62" s="6" t="n">
        <v>5</v>
      </c>
      <c r="N62" s="7" t="n">
        <f aca="false">AVERAGE(H62:M62)</f>
        <v>5</v>
      </c>
      <c r="O62" s="2" t="str">
        <f aca="false">IF(ROUND(N62,0)&lt;=1,"Deficiente",IF(ROUND(N62,0)=2,"Bajo",IF(ROUND(N62,0)=3,"Satisfactorio",IF(ROUND(N62,0)=4,"Bueno","Excelente"))))</f>
        <v>Excelente</v>
      </c>
      <c r="P62" s="8" t="n">
        <f aca="false">MAX(0,MIN(0.2,(N62-3)/2*0.2))</f>
        <v>0.2</v>
      </c>
      <c r="Q62" s="9" t="n">
        <f aca="false">G62*12*P62</f>
        <v>9816000</v>
      </c>
      <c r="R62" s="10" t="s">
        <v>117</v>
      </c>
      <c r="S62" s="2" t="s">
        <v>31</v>
      </c>
    </row>
    <row r="63" customFormat="false" ht="39.55" hidden="false" customHeight="false" outlineLevel="0" collapsed="false">
      <c r="A63" s="2" t="s">
        <v>169</v>
      </c>
      <c r="B63" s="3" t="s">
        <v>170</v>
      </c>
      <c r="C63" s="3" t="s">
        <v>168</v>
      </c>
      <c r="D63" s="3" t="s">
        <v>165</v>
      </c>
      <c r="E63" s="3" t="s">
        <v>164</v>
      </c>
      <c r="F63" s="4" t="n">
        <v>45772</v>
      </c>
      <c r="G63" s="5" t="n">
        <v>4400000</v>
      </c>
      <c r="H63" s="6" t="n">
        <v>5</v>
      </c>
      <c r="I63" s="6" t="n">
        <v>5</v>
      </c>
      <c r="J63" s="6" t="n">
        <v>5</v>
      </c>
      <c r="K63" s="6" t="n">
        <v>5</v>
      </c>
      <c r="L63" s="6" t="n">
        <v>5</v>
      </c>
      <c r="M63" s="6" t="n">
        <v>5</v>
      </c>
      <c r="N63" s="7" t="n">
        <f aca="false">AVERAGE(H63:M63)</f>
        <v>5</v>
      </c>
      <c r="O63" s="2" t="str">
        <f aca="false">IF(ROUND(N63,0)&lt;=1,"Deficiente",IF(ROUND(N63,0)=2,"Bajo",IF(ROUND(N63,0)=3,"Satisfactorio",IF(ROUND(N63,0)=4,"Bueno","Excelente"))))</f>
        <v>Excelente</v>
      </c>
      <c r="P63" s="8" t="n">
        <f aca="false">MAX(0,MIN(0.2,(N63-3)/2*0.2))</f>
        <v>0.2</v>
      </c>
      <c r="Q63" s="9" t="n">
        <f aca="false">G63*12*P63</f>
        <v>10560000</v>
      </c>
      <c r="R63" s="10" t="s">
        <v>67</v>
      </c>
      <c r="S63" s="2" t="s">
        <v>31</v>
      </c>
    </row>
    <row r="64" customFormat="false" ht="26.85" hidden="false" customHeight="false" outlineLevel="0" collapsed="false">
      <c r="A64" s="2" t="s">
        <v>171</v>
      </c>
      <c r="B64" s="3" t="s">
        <v>172</v>
      </c>
      <c r="C64" s="3" t="s">
        <v>168</v>
      </c>
      <c r="D64" s="3" t="s">
        <v>165</v>
      </c>
      <c r="E64" s="3" t="s">
        <v>164</v>
      </c>
      <c r="F64" s="4" t="n">
        <v>45661</v>
      </c>
      <c r="G64" s="5" t="n">
        <v>4900000</v>
      </c>
      <c r="H64" s="6" t="n">
        <v>4</v>
      </c>
      <c r="I64" s="6" t="n">
        <v>4</v>
      </c>
      <c r="J64" s="6" t="n">
        <v>4</v>
      </c>
      <c r="K64" s="6" t="n">
        <v>4</v>
      </c>
      <c r="L64" s="6" t="n">
        <v>4</v>
      </c>
      <c r="M64" s="6" t="n">
        <v>4</v>
      </c>
      <c r="N64" s="7" t="n">
        <f aca="false">AVERAGE(H64:M64)</f>
        <v>4</v>
      </c>
      <c r="O64" s="2" t="str">
        <f aca="false">IF(ROUND(N64,0)&lt;=1,"Deficiente",IF(ROUND(N64,0)=2,"Bajo",IF(ROUND(N64,0)=3,"Satisfactorio",IF(ROUND(N64,0)=4,"Bueno","Excelente"))))</f>
        <v>Bueno</v>
      </c>
      <c r="P64" s="8" t="n">
        <f aca="false">MAX(0,MIN(0.2,(N64-3)/2*0.2))</f>
        <v>0.1</v>
      </c>
      <c r="Q64" s="9" t="n">
        <f aca="false">G64*12*P64</f>
        <v>5880000</v>
      </c>
      <c r="R64" s="10" t="s">
        <v>24</v>
      </c>
      <c r="S64" s="2" t="s">
        <v>31</v>
      </c>
    </row>
    <row r="65" customFormat="false" ht="26.85" hidden="false" customHeight="false" outlineLevel="0" collapsed="false">
      <c r="A65" s="2" t="s">
        <v>173</v>
      </c>
      <c r="B65" s="3" t="s">
        <v>174</v>
      </c>
      <c r="C65" s="3" t="s">
        <v>168</v>
      </c>
      <c r="D65" s="3" t="s">
        <v>165</v>
      </c>
      <c r="E65" s="3" t="s">
        <v>164</v>
      </c>
      <c r="F65" s="4" t="n">
        <v>45671</v>
      </c>
      <c r="G65" s="5" t="n">
        <v>3790000</v>
      </c>
      <c r="H65" s="6" t="n">
        <v>3</v>
      </c>
      <c r="I65" s="6" t="n">
        <v>4</v>
      </c>
      <c r="J65" s="6" t="n">
        <v>4</v>
      </c>
      <c r="K65" s="6" t="n">
        <v>4</v>
      </c>
      <c r="L65" s="6" t="n">
        <v>4</v>
      </c>
      <c r="M65" s="6" t="n">
        <v>4</v>
      </c>
      <c r="N65" s="7" t="n">
        <f aca="false">AVERAGE(H65:M65)</f>
        <v>3.83333333333333</v>
      </c>
      <c r="O65" s="2" t="str">
        <f aca="false">IF(ROUND(N65,0)&lt;=1,"Deficiente",IF(ROUND(N65,0)=2,"Bajo",IF(ROUND(N65,0)=3,"Satisfactorio",IF(ROUND(N65,0)=4,"Bueno","Excelente"))))</f>
        <v>Bueno</v>
      </c>
      <c r="P65" s="8" t="n">
        <f aca="false">MAX(0,MIN(0.2,(N65-3)/2*0.2))</f>
        <v>0.0833333333333334</v>
      </c>
      <c r="Q65" s="9" t="n">
        <f aca="false">G65*12*P65</f>
        <v>3790000</v>
      </c>
      <c r="R65" s="10" t="s">
        <v>60</v>
      </c>
      <c r="S65" s="2" t="s">
        <v>31</v>
      </c>
    </row>
    <row r="66" customFormat="false" ht="26.85" hidden="false" customHeight="false" outlineLevel="0" collapsed="false">
      <c r="A66" s="2" t="s">
        <v>175</v>
      </c>
      <c r="B66" s="3" t="s">
        <v>176</v>
      </c>
      <c r="C66" s="3" t="s">
        <v>177</v>
      </c>
      <c r="D66" s="3" t="s">
        <v>165</v>
      </c>
      <c r="E66" s="3" t="s">
        <v>167</v>
      </c>
      <c r="F66" s="4" t="n">
        <v>45695</v>
      </c>
      <c r="G66" s="5" t="n">
        <v>2350000</v>
      </c>
      <c r="H66" s="6" t="n">
        <v>3</v>
      </c>
      <c r="I66" s="6" t="n">
        <v>3</v>
      </c>
      <c r="J66" s="6" t="n">
        <v>3</v>
      </c>
      <c r="K66" s="6" t="n">
        <v>3</v>
      </c>
      <c r="L66" s="6" t="n">
        <v>3</v>
      </c>
      <c r="M66" s="6" t="n">
        <v>3</v>
      </c>
      <c r="N66" s="7" t="n">
        <f aca="false">AVERAGE(H66:M66)</f>
        <v>3</v>
      </c>
      <c r="O66" s="2" t="str">
        <f aca="false">IF(ROUND(N66,0)&lt;=1,"Deficiente",IF(ROUND(N66,0)=2,"Bajo",IF(ROUND(N66,0)=3,"Satisfactorio",IF(ROUND(N66,0)=4,"Bueno","Excelente"))))</f>
        <v>Satisfactorio</v>
      </c>
      <c r="P66" s="8" t="n">
        <f aca="false">MAX(0,MIN(0.2,(N66-3)/2*0.2))</f>
        <v>0</v>
      </c>
      <c r="Q66" s="9" t="n">
        <f aca="false">G66*12*P66</f>
        <v>0</v>
      </c>
      <c r="R66" s="10" t="s">
        <v>112</v>
      </c>
      <c r="S66" s="2" t="s">
        <v>51</v>
      </c>
    </row>
    <row r="67" customFormat="false" ht="26.85" hidden="false" customHeight="false" outlineLevel="0" collapsed="false">
      <c r="A67" s="2" t="s">
        <v>178</v>
      </c>
      <c r="B67" s="3" t="s">
        <v>179</v>
      </c>
      <c r="C67" s="3" t="s">
        <v>177</v>
      </c>
      <c r="D67" s="3" t="s">
        <v>165</v>
      </c>
      <c r="E67" s="3" t="s">
        <v>170</v>
      </c>
      <c r="F67" s="4" t="n">
        <v>45667</v>
      </c>
      <c r="G67" s="5" t="n">
        <v>2450000</v>
      </c>
      <c r="H67" s="6" t="n">
        <v>4</v>
      </c>
      <c r="I67" s="6" t="n">
        <v>4</v>
      </c>
      <c r="J67" s="6" t="n">
        <v>4</v>
      </c>
      <c r="K67" s="6" t="n">
        <v>4</v>
      </c>
      <c r="L67" s="6" t="n">
        <v>4</v>
      </c>
      <c r="M67" s="6" t="n">
        <v>4</v>
      </c>
      <c r="N67" s="7" t="n">
        <f aca="false">AVERAGE(H67:M67)</f>
        <v>4</v>
      </c>
      <c r="O67" s="2" t="str">
        <f aca="false">IF(ROUND(N67,0)&lt;=1,"Deficiente",IF(ROUND(N67,0)=2,"Bajo",IF(ROUND(N67,0)=3,"Satisfactorio",IF(ROUND(N67,0)=4,"Bueno","Excelente"))))</f>
        <v>Bueno</v>
      </c>
      <c r="P67" s="8" t="n">
        <f aca="false">MAX(0,MIN(0.2,(N67-3)/2*0.2))</f>
        <v>0.1</v>
      </c>
      <c r="Q67" s="9" t="n">
        <f aca="false">G67*12*P67</f>
        <v>2940000</v>
      </c>
      <c r="R67" s="10" t="s">
        <v>35</v>
      </c>
      <c r="S67" s="2" t="s">
        <v>31</v>
      </c>
    </row>
    <row r="68" customFormat="false" ht="26.85" hidden="false" customHeight="false" outlineLevel="0" collapsed="false">
      <c r="A68" s="2" t="s">
        <v>180</v>
      </c>
      <c r="B68" s="3" t="s">
        <v>181</v>
      </c>
      <c r="C68" s="3" t="s">
        <v>177</v>
      </c>
      <c r="D68" s="3" t="s">
        <v>165</v>
      </c>
      <c r="E68" s="3" t="s">
        <v>172</v>
      </c>
      <c r="F68" s="4" t="n">
        <v>45764</v>
      </c>
      <c r="G68" s="5" t="n">
        <v>1770000</v>
      </c>
      <c r="H68" s="6" t="n">
        <v>4</v>
      </c>
      <c r="I68" s="6" t="n">
        <v>4</v>
      </c>
      <c r="J68" s="6" t="n">
        <v>4</v>
      </c>
      <c r="K68" s="6" t="n">
        <v>4</v>
      </c>
      <c r="L68" s="6" t="n">
        <v>5</v>
      </c>
      <c r="M68" s="6" t="n">
        <v>4</v>
      </c>
      <c r="N68" s="7" t="n">
        <f aca="false">AVERAGE(H68:M68)</f>
        <v>4.16666666666667</v>
      </c>
      <c r="O68" s="2" t="str">
        <f aca="false">IF(ROUND(N68,0)&lt;=1,"Deficiente",IF(ROUND(N68,0)=2,"Bajo",IF(ROUND(N68,0)=3,"Satisfactorio",IF(ROUND(N68,0)=4,"Bueno","Excelente"))))</f>
        <v>Bueno</v>
      </c>
      <c r="P68" s="8" t="n">
        <f aca="false">MAX(0,MIN(0.2,(N68-3)/2*0.2))</f>
        <v>0.116666666666667</v>
      </c>
      <c r="Q68" s="9" t="n">
        <f aca="false">G68*12*P68</f>
        <v>2478000</v>
      </c>
      <c r="R68" s="10" t="s">
        <v>35</v>
      </c>
      <c r="S68" s="2" t="s">
        <v>31</v>
      </c>
    </row>
    <row r="69" customFormat="false" ht="39.55" hidden="false" customHeight="false" outlineLevel="0" collapsed="false">
      <c r="A69" s="2" t="s">
        <v>182</v>
      </c>
      <c r="B69" s="3" t="s">
        <v>183</v>
      </c>
      <c r="C69" s="3" t="s">
        <v>177</v>
      </c>
      <c r="D69" s="3" t="s">
        <v>165</v>
      </c>
      <c r="E69" s="3" t="s">
        <v>174</v>
      </c>
      <c r="F69" s="4" t="n">
        <v>45724</v>
      </c>
      <c r="G69" s="5" t="n">
        <v>2110000</v>
      </c>
      <c r="H69" s="6" t="n">
        <v>2</v>
      </c>
      <c r="I69" s="6" t="n">
        <v>2</v>
      </c>
      <c r="J69" s="6" t="n">
        <v>2</v>
      </c>
      <c r="K69" s="6" t="n">
        <v>3</v>
      </c>
      <c r="L69" s="6" t="n">
        <v>2</v>
      </c>
      <c r="M69" s="6" t="n">
        <v>2</v>
      </c>
      <c r="N69" s="7" t="n">
        <f aca="false">AVERAGE(H69:M69)</f>
        <v>2.16666666666667</v>
      </c>
      <c r="O69" s="2" t="str">
        <f aca="false">IF(ROUND(N69,0)&lt;=1,"Deficiente",IF(ROUND(N69,0)=2,"Bajo",IF(ROUND(N69,0)=3,"Satisfactorio",IF(ROUND(N69,0)=4,"Bueno","Excelente"))))</f>
        <v>Bajo</v>
      </c>
      <c r="P69" s="8" t="n">
        <f aca="false">MAX(0,MIN(0.2,(N69-3)/2*0.2))</f>
        <v>0</v>
      </c>
      <c r="Q69" s="9" t="n">
        <f aca="false">G69*12*P69</f>
        <v>0</v>
      </c>
      <c r="R69" s="10" t="s">
        <v>72</v>
      </c>
      <c r="S69" s="2" t="s">
        <v>57</v>
      </c>
    </row>
    <row r="70" customFormat="false" ht="39.55" hidden="false" customHeight="false" outlineLevel="0" collapsed="false">
      <c r="A70" s="2" t="s">
        <v>184</v>
      </c>
      <c r="B70" s="3" t="s">
        <v>185</v>
      </c>
      <c r="C70" s="3" t="s">
        <v>177</v>
      </c>
      <c r="D70" s="3" t="s">
        <v>165</v>
      </c>
      <c r="E70" s="3" t="s">
        <v>167</v>
      </c>
      <c r="F70" s="4" t="n">
        <v>45719</v>
      </c>
      <c r="G70" s="5" t="n">
        <v>2400000</v>
      </c>
      <c r="H70" s="6" t="n">
        <v>4</v>
      </c>
      <c r="I70" s="6" t="n">
        <v>4</v>
      </c>
      <c r="J70" s="6" t="n">
        <v>4</v>
      </c>
      <c r="K70" s="6" t="n">
        <v>5</v>
      </c>
      <c r="L70" s="6" t="n">
        <v>5</v>
      </c>
      <c r="M70" s="6" t="n">
        <v>4</v>
      </c>
      <c r="N70" s="7" t="n">
        <f aca="false">AVERAGE(H70:M70)</f>
        <v>4.33333333333333</v>
      </c>
      <c r="O70" s="2" t="str">
        <f aca="false">IF(ROUND(N70,0)&lt;=1,"Deficiente",IF(ROUND(N70,0)=2,"Bajo",IF(ROUND(N70,0)=3,"Satisfactorio",IF(ROUND(N70,0)=4,"Bueno","Excelente"))))</f>
        <v>Bueno</v>
      </c>
      <c r="P70" s="8" t="n">
        <f aca="false">MAX(0,MIN(0.2,(N70-3)/2*0.2))</f>
        <v>0.133333333333333</v>
      </c>
      <c r="Q70" s="9" t="n">
        <f aca="false">G70*12*P70</f>
        <v>3840000</v>
      </c>
      <c r="R70" s="10" t="s">
        <v>67</v>
      </c>
      <c r="S70" s="2" t="s">
        <v>31</v>
      </c>
    </row>
    <row r="71" customFormat="false" ht="26.85" hidden="false" customHeight="false" outlineLevel="0" collapsed="false">
      <c r="A71" s="2" t="s">
        <v>186</v>
      </c>
      <c r="B71" s="3" t="s">
        <v>187</v>
      </c>
      <c r="C71" s="3" t="s">
        <v>177</v>
      </c>
      <c r="D71" s="3" t="s">
        <v>165</v>
      </c>
      <c r="E71" s="3" t="s">
        <v>170</v>
      </c>
      <c r="F71" s="4" t="n">
        <v>45783</v>
      </c>
      <c r="G71" s="5" t="n">
        <v>2060000</v>
      </c>
      <c r="H71" s="6" t="n">
        <v>4</v>
      </c>
      <c r="I71" s="6" t="n">
        <v>4</v>
      </c>
      <c r="J71" s="6" t="n">
        <v>5</v>
      </c>
      <c r="K71" s="6" t="n">
        <v>5</v>
      </c>
      <c r="L71" s="6" t="n">
        <v>4</v>
      </c>
      <c r="M71" s="6" t="n">
        <v>4</v>
      </c>
      <c r="N71" s="7" t="n">
        <f aca="false">AVERAGE(H71:M71)</f>
        <v>4.33333333333333</v>
      </c>
      <c r="O71" s="2" t="str">
        <f aca="false">IF(ROUND(N71,0)&lt;=1,"Deficiente",IF(ROUND(N71,0)=2,"Bajo",IF(ROUND(N71,0)=3,"Satisfactorio",IF(ROUND(N71,0)=4,"Bueno","Excelente"))))</f>
        <v>Bueno</v>
      </c>
      <c r="P71" s="8" t="n">
        <f aca="false">MAX(0,MIN(0.2,(N71-3)/2*0.2))</f>
        <v>0.133333333333333</v>
      </c>
      <c r="Q71" s="9" t="n">
        <f aca="false">G71*12*P71</f>
        <v>3296000</v>
      </c>
      <c r="R71" s="10" t="s">
        <v>117</v>
      </c>
      <c r="S71" s="2" t="s">
        <v>31</v>
      </c>
    </row>
    <row r="72" customFormat="false" ht="26.85" hidden="false" customHeight="false" outlineLevel="0" collapsed="false">
      <c r="A72" s="2" t="s">
        <v>188</v>
      </c>
      <c r="B72" s="3" t="s">
        <v>189</v>
      </c>
      <c r="C72" s="3" t="s">
        <v>177</v>
      </c>
      <c r="D72" s="3" t="s">
        <v>165</v>
      </c>
      <c r="E72" s="3" t="s">
        <v>172</v>
      </c>
      <c r="F72" s="4" t="n">
        <v>45770</v>
      </c>
      <c r="G72" s="5" t="n">
        <v>2580000</v>
      </c>
      <c r="H72" s="6" t="n">
        <v>4</v>
      </c>
      <c r="I72" s="6" t="n">
        <v>5</v>
      </c>
      <c r="J72" s="6" t="n">
        <v>5</v>
      </c>
      <c r="K72" s="6" t="n">
        <v>5</v>
      </c>
      <c r="L72" s="6" t="n">
        <v>5</v>
      </c>
      <c r="M72" s="6" t="n">
        <v>5</v>
      </c>
      <c r="N72" s="7" t="n">
        <f aca="false">AVERAGE(H72:M72)</f>
        <v>4.83333333333333</v>
      </c>
      <c r="O72" s="2" t="str">
        <f aca="false">IF(ROUND(N72,0)&lt;=1,"Deficiente",IF(ROUND(N72,0)=2,"Bajo",IF(ROUND(N72,0)=3,"Satisfactorio",IF(ROUND(N72,0)=4,"Bueno","Excelente"))))</f>
        <v>Excelente</v>
      </c>
      <c r="P72" s="8" t="n">
        <f aca="false">MAX(0,MIN(0.2,(N72-3)/2*0.2))</f>
        <v>0.183333333333333</v>
      </c>
      <c r="Q72" s="9" t="n">
        <f aca="false">G72*12*P72</f>
        <v>5676000</v>
      </c>
      <c r="R72" s="10" t="s">
        <v>30</v>
      </c>
      <c r="S72" s="2" t="s">
        <v>25</v>
      </c>
    </row>
    <row r="73" customFormat="false" ht="26.85" hidden="false" customHeight="false" outlineLevel="0" collapsed="false">
      <c r="A73" s="2" t="s">
        <v>190</v>
      </c>
      <c r="B73" s="3" t="s">
        <v>191</v>
      </c>
      <c r="C73" s="3" t="s">
        <v>177</v>
      </c>
      <c r="D73" s="3" t="s">
        <v>165</v>
      </c>
      <c r="E73" s="3" t="s">
        <v>174</v>
      </c>
      <c r="F73" s="4" t="n">
        <v>45701</v>
      </c>
      <c r="G73" s="5" t="n">
        <v>2360000</v>
      </c>
      <c r="H73" s="6" t="n">
        <v>5</v>
      </c>
      <c r="I73" s="6" t="n">
        <v>4</v>
      </c>
      <c r="J73" s="6" t="n">
        <v>4</v>
      </c>
      <c r="K73" s="6" t="n">
        <v>4</v>
      </c>
      <c r="L73" s="6" t="n">
        <v>4</v>
      </c>
      <c r="M73" s="6" t="n">
        <v>4</v>
      </c>
      <c r="N73" s="7" t="n">
        <f aca="false">AVERAGE(H73:M73)</f>
        <v>4.16666666666667</v>
      </c>
      <c r="O73" s="2" t="str">
        <f aca="false">IF(ROUND(N73,0)&lt;=1,"Deficiente",IF(ROUND(N73,0)=2,"Bajo",IF(ROUND(N73,0)=3,"Satisfactorio",IF(ROUND(N73,0)=4,"Bueno","Excelente"))))</f>
        <v>Bueno</v>
      </c>
      <c r="P73" s="8" t="n">
        <f aca="false">MAX(0,MIN(0.2,(N73-3)/2*0.2))</f>
        <v>0.116666666666667</v>
      </c>
      <c r="Q73" s="9" t="n">
        <f aca="false">G73*12*P73</f>
        <v>3304000</v>
      </c>
      <c r="R73" s="10" t="s">
        <v>60</v>
      </c>
      <c r="S73" s="2" t="s">
        <v>31</v>
      </c>
    </row>
    <row r="74" customFormat="false" ht="26.85" hidden="false" customHeight="false" outlineLevel="0" collapsed="false">
      <c r="A74" s="2" t="s">
        <v>192</v>
      </c>
      <c r="B74" s="3" t="s">
        <v>193</v>
      </c>
      <c r="C74" s="3" t="s">
        <v>177</v>
      </c>
      <c r="D74" s="3" t="s">
        <v>165</v>
      </c>
      <c r="E74" s="3" t="s">
        <v>167</v>
      </c>
      <c r="F74" s="4" t="n">
        <v>45730</v>
      </c>
      <c r="G74" s="5" t="n">
        <v>1930000</v>
      </c>
      <c r="H74" s="6" t="n">
        <v>5</v>
      </c>
      <c r="I74" s="6" t="n">
        <v>4</v>
      </c>
      <c r="J74" s="6" t="n">
        <v>5</v>
      </c>
      <c r="K74" s="6" t="n">
        <v>5</v>
      </c>
      <c r="L74" s="6" t="n">
        <v>5</v>
      </c>
      <c r="M74" s="6" t="n">
        <v>5</v>
      </c>
      <c r="N74" s="7" t="n">
        <f aca="false">AVERAGE(H74:M74)</f>
        <v>4.83333333333333</v>
      </c>
      <c r="O74" s="2" t="str">
        <f aca="false">IF(ROUND(N74,0)&lt;=1,"Deficiente",IF(ROUND(N74,0)=2,"Bajo",IF(ROUND(N74,0)=3,"Satisfactorio",IF(ROUND(N74,0)=4,"Bueno","Excelente"))))</f>
        <v>Excelente</v>
      </c>
      <c r="P74" s="8" t="n">
        <f aca="false">MAX(0,MIN(0.2,(N74-3)/2*0.2))</f>
        <v>0.183333333333333</v>
      </c>
      <c r="Q74" s="9" t="n">
        <f aca="false">G74*12*P74</f>
        <v>4246000</v>
      </c>
      <c r="R74" s="10" t="s">
        <v>117</v>
      </c>
      <c r="S74" s="2" t="s">
        <v>25</v>
      </c>
    </row>
    <row r="75" customFormat="false" ht="26.85" hidden="false" customHeight="false" outlineLevel="0" collapsed="false">
      <c r="A75" s="2" t="s">
        <v>194</v>
      </c>
      <c r="B75" s="3" t="s">
        <v>195</v>
      </c>
      <c r="C75" s="3" t="s">
        <v>177</v>
      </c>
      <c r="D75" s="3" t="s">
        <v>165</v>
      </c>
      <c r="E75" s="3" t="s">
        <v>170</v>
      </c>
      <c r="F75" s="4" t="n">
        <v>45887</v>
      </c>
      <c r="G75" s="5" t="n">
        <v>2340000</v>
      </c>
      <c r="H75" s="6" t="n">
        <v>5</v>
      </c>
      <c r="I75" s="6" t="n">
        <v>4</v>
      </c>
      <c r="J75" s="6" t="n">
        <v>4</v>
      </c>
      <c r="K75" s="6" t="n">
        <v>5</v>
      </c>
      <c r="L75" s="6" t="n">
        <v>5</v>
      </c>
      <c r="M75" s="6" t="n">
        <v>5</v>
      </c>
      <c r="N75" s="7" t="n">
        <f aca="false">AVERAGE(H75:M75)</f>
        <v>4.66666666666667</v>
      </c>
      <c r="O75" s="2" t="str">
        <f aca="false">IF(ROUND(N75,0)&lt;=1,"Deficiente",IF(ROUND(N75,0)=2,"Bajo",IF(ROUND(N75,0)=3,"Satisfactorio",IF(ROUND(N75,0)=4,"Bueno","Excelente"))))</f>
        <v>Excelente</v>
      </c>
      <c r="P75" s="8" t="n">
        <f aca="false">MAX(0,MIN(0.2,(N75-3)/2*0.2))</f>
        <v>0.166666666666667</v>
      </c>
      <c r="Q75" s="9" t="n">
        <f aca="false">G75*12*P75</f>
        <v>4680000</v>
      </c>
      <c r="R75" s="10" t="s">
        <v>30</v>
      </c>
      <c r="S75" s="2" t="s">
        <v>25</v>
      </c>
    </row>
    <row r="76" customFormat="false" ht="26.85" hidden="false" customHeight="false" outlineLevel="0" collapsed="false">
      <c r="A76" s="2" t="s">
        <v>196</v>
      </c>
      <c r="B76" s="3" t="s">
        <v>197</v>
      </c>
      <c r="C76" s="3" t="s">
        <v>177</v>
      </c>
      <c r="D76" s="3" t="s">
        <v>165</v>
      </c>
      <c r="E76" s="3" t="s">
        <v>172</v>
      </c>
      <c r="F76" s="4" t="n">
        <v>45860</v>
      </c>
      <c r="G76" s="5" t="n">
        <v>2280000</v>
      </c>
      <c r="H76" s="6" t="n">
        <v>4</v>
      </c>
      <c r="I76" s="6" t="n">
        <v>5</v>
      </c>
      <c r="J76" s="6" t="n">
        <v>5</v>
      </c>
      <c r="K76" s="6" t="n">
        <v>4</v>
      </c>
      <c r="L76" s="6" t="n">
        <v>4</v>
      </c>
      <c r="M76" s="6" t="n">
        <v>4</v>
      </c>
      <c r="N76" s="7" t="n">
        <f aca="false">AVERAGE(H76:M76)</f>
        <v>4.33333333333333</v>
      </c>
      <c r="O76" s="2" t="str">
        <f aca="false">IF(ROUND(N76,0)&lt;=1,"Deficiente",IF(ROUND(N76,0)=2,"Bajo",IF(ROUND(N76,0)=3,"Satisfactorio",IF(ROUND(N76,0)=4,"Bueno","Excelente"))))</f>
        <v>Bueno</v>
      </c>
      <c r="P76" s="8" t="n">
        <f aca="false">MAX(0,MIN(0.2,(N76-3)/2*0.2))</f>
        <v>0.133333333333333</v>
      </c>
      <c r="Q76" s="9" t="n">
        <f aca="false">G76*12*P76</f>
        <v>3648000</v>
      </c>
      <c r="R76" s="10" t="s">
        <v>35</v>
      </c>
      <c r="S76" s="2" t="s">
        <v>31</v>
      </c>
    </row>
    <row r="77" customFormat="false" ht="26.85" hidden="false" customHeight="false" outlineLevel="0" collapsed="false">
      <c r="A77" s="2" t="s">
        <v>198</v>
      </c>
      <c r="B77" s="3" t="s">
        <v>199</v>
      </c>
      <c r="C77" s="3" t="s">
        <v>177</v>
      </c>
      <c r="D77" s="3" t="s">
        <v>165</v>
      </c>
      <c r="E77" s="3" t="s">
        <v>174</v>
      </c>
      <c r="F77" s="4" t="n">
        <v>45840</v>
      </c>
      <c r="G77" s="5" t="n">
        <v>1900000</v>
      </c>
      <c r="H77" s="6" t="n">
        <v>3</v>
      </c>
      <c r="I77" s="6" t="n">
        <v>5</v>
      </c>
      <c r="J77" s="6" t="n">
        <v>4</v>
      </c>
      <c r="K77" s="6" t="n">
        <v>4</v>
      </c>
      <c r="L77" s="6" t="n">
        <v>4</v>
      </c>
      <c r="M77" s="6" t="n">
        <v>3</v>
      </c>
      <c r="N77" s="7" t="n">
        <f aca="false">AVERAGE(H77:M77)</f>
        <v>3.83333333333333</v>
      </c>
      <c r="O77" s="2" t="str">
        <f aca="false">IF(ROUND(N77,0)&lt;=1,"Deficiente",IF(ROUND(N77,0)=2,"Bajo",IF(ROUND(N77,0)=3,"Satisfactorio",IF(ROUND(N77,0)=4,"Bueno","Excelente"))))</f>
        <v>Bueno</v>
      </c>
      <c r="P77" s="8" t="n">
        <f aca="false">MAX(0,MIN(0.2,(N77-3)/2*0.2))</f>
        <v>0.0833333333333334</v>
      </c>
      <c r="Q77" s="9" t="n">
        <f aca="false">G77*12*P77</f>
        <v>1900000</v>
      </c>
      <c r="R77" s="10" t="s">
        <v>24</v>
      </c>
      <c r="S77" s="2" t="s">
        <v>31</v>
      </c>
    </row>
    <row r="78" customFormat="false" ht="26.85" hidden="false" customHeight="false" outlineLevel="0" collapsed="false">
      <c r="A78" s="2" t="s">
        <v>200</v>
      </c>
      <c r="B78" s="3" t="s">
        <v>201</v>
      </c>
      <c r="C78" s="3" t="s">
        <v>177</v>
      </c>
      <c r="D78" s="3" t="s">
        <v>165</v>
      </c>
      <c r="E78" s="3" t="s">
        <v>167</v>
      </c>
      <c r="F78" s="4" t="n">
        <v>45699</v>
      </c>
      <c r="G78" s="5" t="n">
        <v>2330000</v>
      </c>
      <c r="H78" s="6" t="n">
        <v>4</v>
      </c>
      <c r="I78" s="6" t="n">
        <v>4</v>
      </c>
      <c r="J78" s="6" t="n">
        <v>4</v>
      </c>
      <c r="K78" s="6" t="n">
        <v>4</v>
      </c>
      <c r="L78" s="6" t="n">
        <v>4</v>
      </c>
      <c r="M78" s="6" t="n">
        <v>4</v>
      </c>
      <c r="N78" s="7" t="n">
        <f aca="false">AVERAGE(H78:M78)</f>
        <v>4</v>
      </c>
      <c r="O78" s="2" t="str">
        <f aca="false">IF(ROUND(N78,0)&lt;=1,"Deficiente",IF(ROUND(N78,0)=2,"Bajo",IF(ROUND(N78,0)=3,"Satisfactorio",IF(ROUND(N78,0)=4,"Bueno","Excelente"))))</f>
        <v>Bueno</v>
      </c>
      <c r="P78" s="8" t="n">
        <f aca="false">MAX(0,MIN(0.2,(N78-3)/2*0.2))</f>
        <v>0.1</v>
      </c>
      <c r="Q78" s="9" t="n">
        <f aca="false">G78*12*P78</f>
        <v>2796000</v>
      </c>
      <c r="R78" s="10" t="s">
        <v>24</v>
      </c>
      <c r="S78" s="2" t="s">
        <v>31</v>
      </c>
    </row>
    <row r="79" customFormat="false" ht="39.55" hidden="false" customHeight="false" outlineLevel="0" collapsed="false">
      <c r="A79" s="2" t="s">
        <v>202</v>
      </c>
      <c r="B79" s="3" t="s">
        <v>203</v>
      </c>
      <c r="C79" s="3" t="s">
        <v>177</v>
      </c>
      <c r="D79" s="3" t="s">
        <v>165</v>
      </c>
      <c r="E79" s="3" t="s">
        <v>170</v>
      </c>
      <c r="F79" s="4" t="n">
        <v>45900</v>
      </c>
      <c r="G79" s="5" t="n">
        <v>2170000</v>
      </c>
      <c r="H79" s="6" t="n">
        <v>3</v>
      </c>
      <c r="I79" s="6" t="n">
        <v>2</v>
      </c>
      <c r="J79" s="6" t="n">
        <v>2</v>
      </c>
      <c r="K79" s="6" t="n">
        <v>2</v>
      </c>
      <c r="L79" s="6" t="n">
        <v>3</v>
      </c>
      <c r="M79" s="6" t="n">
        <v>2</v>
      </c>
      <c r="N79" s="7" t="n">
        <f aca="false">AVERAGE(H79:M79)</f>
        <v>2.33333333333333</v>
      </c>
      <c r="O79" s="2" t="str">
        <f aca="false">IF(ROUND(N79,0)&lt;=1,"Deficiente",IF(ROUND(N79,0)=2,"Bajo",IF(ROUND(N79,0)=3,"Satisfactorio",IF(ROUND(N79,0)=4,"Bueno","Excelente"))))</f>
        <v>Bajo</v>
      </c>
      <c r="P79" s="8" t="n">
        <f aca="false">MAX(0,MIN(0.2,(N79-3)/2*0.2))</f>
        <v>0</v>
      </c>
      <c r="Q79" s="9" t="n">
        <f aca="false">G79*12*P79</f>
        <v>0</v>
      </c>
      <c r="R79" s="10" t="s">
        <v>97</v>
      </c>
      <c r="S79" s="2" t="s">
        <v>57</v>
      </c>
    </row>
    <row r="80" customFormat="false" ht="39.55" hidden="false" customHeight="false" outlineLevel="0" collapsed="false">
      <c r="A80" s="2" t="s">
        <v>204</v>
      </c>
      <c r="B80" s="3" t="s">
        <v>205</v>
      </c>
      <c r="C80" s="3" t="s">
        <v>177</v>
      </c>
      <c r="D80" s="3" t="s">
        <v>165</v>
      </c>
      <c r="E80" s="3" t="s">
        <v>172</v>
      </c>
      <c r="F80" s="4" t="n">
        <v>45869</v>
      </c>
      <c r="G80" s="5" t="n">
        <v>2070000</v>
      </c>
      <c r="H80" s="6" t="n">
        <v>2</v>
      </c>
      <c r="I80" s="6" t="n">
        <v>2</v>
      </c>
      <c r="J80" s="6" t="n">
        <v>1</v>
      </c>
      <c r="K80" s="6" t="n">
        <v>1</v>
      </c>
      <c r="L80" s="6" t="n">
        <v>1</v>
      </c>
      <c r="M80" s="6" t="n">
        <v>2</v>
      </c>
      <c r="N80" s="7" t="n">
        <f aca="false">AVERAGE(H80:M80)</f>
        <v>1.5</v>
      </c>
      <c r="O80" s="2" t="str">
        <f aca="false">IF(ROUND(N80,0)&lt;=1,"Deficiente",IF(ROUND(N80,0)=2,"Bajo",IF(ROUND(N80,0)=3,"Satisfactorio",IF(ROUND(N80,0)=4,"Bueno","Excelente"))))</f>
        <v>Bajo</v>
      </c>
      <c r="P80" s="8" t="n">
        <f aca="false">MAX(0,MIN(0.2,(N80-3)/2*0.2))</f>
        <v>0</v>
      </c>
      <c r="Q80" s="9" t="n">
        <f aca="false">G80*12*P80</f>
        <v>0</v>
      </c>
      <c r="R80" s="10" t="s">
        <v>206</v>
      </c>
      <c r="S80" s="2" t="s">
        <v>57</v>
      </c>
    </row>
    <row r="81" customFormat="false" ht="39.55" hidden="false" customHeight="false" outlineLevel="0" collapsed="false">
      <c r="A81" s="2" t="s">
        <v>207</v>
      </c>
      <c r="B81" s="3" t="s">
        <v>208</v>
      </c>
      <c r="C81" s="3" t="s">
        <v>177</v>
      </c>
      <c r="D81" s="3" t="s">
        <v>165</v>
      </c>
      <c r="E81" s="3" t="s">
        <v>174</v>
      </c>
      <c r="F81" s="4" t="n">
        <v>45669</v>
      </c>
      <c r="G81" s="5" t="n">
        <v>2390000</v>
      </c>
      <c r="H81" s="6" t="n">
        <v>3</v>
      </c>
      <c r="I81" s="6" t="n">
        <v>3</v>
      </c>
      <c r="J81" s="6" t="n">
        <v>3</v>
      </c>
      <c r="K81" s="6" t="n">
        <v>3</v>
      </c>
      <c r="L81" s="6" t="n">
        <v>3</v>
      </c>
      <c r="M81" s="6" t="n">
        <v>3</v>
      </c>
      <c r="N81" s="7" t="n">
        <f aca="false">AVERAGE(H81:M81)</f>
        <v>3</v>
      </c>
      <c r="O81" s="2" t="str">
        <f aca="false">IF(ROUND(N81,0)&lt;=1,"Deficiente",IF(ROUND(N81,0)=2,"Bajo",IF(ROUND(N81,0)=3,"Satisfactorio",IF(ROUND(N81,0)=4,"Bueno","Excelente"))))</f>
        <v>Satisfactorio</v>
      </c>
      <c r="P81" s="8" t="n">
        <f aca="false">MAX(0,MIN(0.2,(N81-3)/2*0.2))</f>
        <v>0</v>
      </c>
      <c r="Q81" s="9" t="n">
        <f aca="false">G81*12*P81</f>
        <v>0</v>
      </c>
      <c r="R81" s="10" t="s">
        <v>45</v>
      </c>
      <c r="S81" s="2" t="s">
        <v>31</v>
      </c>
    </row>
    <row r="82" customFormat="false" ht="26.85" hidden="false" customHeight="false" outlineLevel="0" collapsed="false">
      <c r="A82" s="2" t="s">
        <v>209</v>
      </c>
      <c r="B82" s="3" t="s">
        <v>210</v>
      </c>
      <c r="C82" s="3" t="s">
        <v>177</v>
      </c>
      <c r="D82" s="3" t="s">
        <v>165</v>
      </c>
      <c r="E82" s="3" t="s">
        <v>167</v>
      </c>
      <c r="F82" s="4" t="n">
        <v>45873</v>
      </c>
      <c r="G82" s="5" t="n">
        <v>2020000</v>
      </c>
      <c r="H82" s="6" t="n">
        <v>4</v>
      </c>
      <c r="I82" s="6" t="n">
        <v>5</v>
      </c>
      <c r="J82" s="6" t="n">
        <v>5</v>
      </c>
      <c r="K82" s="6" t="n">
        <v>4</v>
      </c>
      <c r="L82" s="6" t="n">
        <v>5</v>
      </c>
      <c r="M82" s="6" t="n">
        <v>5</v>
      </c>
      <c r="N82" s="7" t="n">
        <f aca="false">AVERAGE(H82:M82)</f>
        <v>4.66666666666667</v>
      </c>
      <c r="O82" s="2" t="str">
        <f aca="false">IF(ROUND(N82,0)&lt;=1,"Deficiente",IF(ROUND(N82,0)=2,"Bajo",IF(ROUND(N82,0)=3,"Satisfactorio",IF(ROUND(N82,0)=4,"Bueno","Excelente"))))</f>
        <v>Excelente</v>
      </c>
      <c r="P82" s="8" t="n">
        <f aca="false">MAX(0,MIN(0.2,(N82-3)/2*0.2))</f>
        <v>0.166666666666667</v>
      </c>
      <c r="Q82" s="9" t="n">
        <f aca="false">G82*12*P82</f>
        <v>4040000</v>
      </c>
      <c r="R82" s="10" t="s">
        <v>117</v>
      </c>
      <c r="S82" s="2" t="s">
        <v>31</v>
      </c>
    </row>
    <row r="83" customFormat="false" ht="26.85" hidden="false" customHeight="false" outlineLevel="0" collapsed="false">
      <c r="A83" s="2" t="s">
        <v>211</v>
      </c>
      <c r="B83" s="3" t="s">
        <v>212</v>
      </c>
      <c r="C83" s="3" t="s">
        <v>177</v>
      </c>
      <c r="D83" s="3" t="s">
        <v>165</v>
      </c>
      <c r="E83" s="3" t="s">
        <v>170</v>
      </c>
      <c r="F83" s="4" t="n">
        <v>45751</v>
      </c>
      <c r="G83" s="5" t="n">
        <v>2600000</v>
      </c>
      <c r="H83" s="6" t="n">
        <v>4</v>
      </c>
      <c r="I83" s="6" t="n">
        <v>4</v>
      </c>
      <c r="J83" s="6" t="n">
        <v>4</v>
      </c>
      <c r="K83" s="6" t="n">
        <v>4</v>
      </c>
      <c r="L83" s="6" t="n">
        <v>4</v>
      </c>
      <c r="M83" s="6" t="n">
        <v>4</v>
      </c>
      <c r="N83" s="7" t="n">
        <f aca="false">AVERAGE(H83:M83)</f>
        <v>4</v>
      </c>
      <c r="O83" s="2" t="str">
        <f aca="false">IF(ROUND(N83,0)&lt;=1,"Deficiente",IF(ROUND(N83,0)=2,"Bajo",IF(ROUND(N83,0)=3,"Satisfactorio",IF(ROUND(N83,0)=4,"Bueno","Excelente"))))</f>
        <v>Bueno</v>
      </c>
      <c r="P83" s="8" t="n">
        <f aca="false">MAX(0,MIN(0.2,(N83-3)/2*0.2))</f>
        <v>0.1</v>
      </c>
      <c r="Q83" s="9" t="n">
        <f aca="false">G83*12*P83</f>
        <v>3120000</v>
      </c>
      <c r="R83" s="10" t="s">
        <v>24</v>
      </c>
      <c r="S83" s="2" t="s">
        <v>31</v>
      </c>
    </row>
    <row r="84" customFormat="false" ht="26.85" hidden="false" customHeight="false" outlineLevel="0" collapsed="false">
      <c r="A84" s="2" t="s">
        <v>213</v>
      </c>
      <c r="B84" s="3" t="s">
        <v>214</v>
      </c>
      <c r="C84" s="3" t="s">
        <v>177</v>
      </c>
      <c r="D84" s="3" t="s">
        <v>165</v>
      </c>
      <c r="E84" s="3" t="s">
        <v>172</v>
      </c>
      <c r="F84" s="4" t="n">
        <v>45766</v>
      </c>
      <c r="G84" s="5" t="n">
        <v>1850000</v>
      </c>
      <c r="H84" s="6" t="n">
        <v>4</v>
      </c>
      <c r="I84" s="6" t="n">
        <v>5</v>
      </c>
      <c r="J84" s="6" t="n">
        <v>3</v>
      </c>
      <c r="K84" s="6" t="n">
        <v>4</v>
      </c>
      <c r="L84" s="6" t="n">
        <v>5</v>
      </c>
      <c r="M84" s="6" t="n">
        <v>5</v>
      </c>
      <c r="N84" s="7" t="n">
        <f aca="false">AVERAGE(H84:M84)</f>
        <v>4.33333333333333</v>
      </c>
      <c r="O84" s="2" t="str">
        <f aca="false">IF(ROUND(N84,0)&lt;=1,"Deficiente",IF(ROUND(N84,0)=2,"Bajo",IF(ROUND(N84,0)=3,"Satisfactorio",IF(ROUND(N84,0)=4,"Bueno","Excelente"))))</f>
        <v>Bueno</v>
      </c>
      <c r="P84" s="8" t="n">
        <f aca="false">MAX(0,MIN(0.2,(N84-3)/2*0.2))</f>
        <v>0.133333333333333</v>
      </c>
      <c r="Q84" s="9" t="n">
        <f aca="false">G84*12*P84</f>
        <v>2960000</v>
      </c>
      <c r="R84" s="10" t="s">
        <v>60</v>
      </c>
      <c r="S84" s="2" t="s">
        <v>31</v>
      </c>
    </row>
    <row r="85" customFormat="false" ht="26.85" hidden="false" customHeight="false" outlineLevel="0" collapsed="false">
      <c r="A85" s="2" t="s">
        <v>215</v>
      </c>
      <c r="B85" s="3" t="s">
        <v>216</v>
      </c>
      <c r="C85" s="3" t="s">
        <v>177</v>
      </c>
      <c r="D85" s="3" t="s">
        <v>165</v>
      </c>
      <c r="E85" s="3" t="s">
        <v>174</v>
      </c>
      <c r="F85" s="4" t="n">
        <v>45666</v>
      </c>
      <c r="G85" s="5" t="n">
        <v>1720000</v>
      </c>
      <c r="H85" s="6" t="n">
        <v>5</v>
      </c>
      <c r="I85" s="6" t="n">
        <v>4</v>
      </c>
      <c r="J85" s="6" t="n">
        <v>4</v>
      </c>
      <c r="K85" s="6" t="n">
        <v>5</v>
      </c>
      <c r="L85" s="6" t="n">
        <v>5</v>
      </c>
      <c r="M85" s="6" t="n">
        <v>5</v>
      </c>
      <c r="N85" s="7" t="n">
        <f aca="false">AVERAGE(H85:M85)</f>
        <v>4.66666666666667</v>
      </c>
      <c r="O85" s="2" t="str">
        <f aca="false">IF(ROUND(N85,0)&lt;=1,"Deficiente",IF(ROUND(N85,0)=2,"Bajo",IF(ROUND(N85,0)=3,"Satisfactorio",IF(ROUND(N85,0)=4,"Bueno","Excelente"))))</f>
        <v>Excelente</v>
      </c>
      <c r="P85" s="8" t="n">
        <f aca="false">MAX(0,MIN(0.2,(N85-3)/2*0.2))</f>
        <v>0.166666666666667</v>
      </c>
      <c r="Q85" s="9" t="n">
        <f aca="false">G85*12*P85</f>
        <v>3440000</v>
      </c>
      <c r="R85" s="10" t="s">
        <v>30</v>
      </c>
      <c r="S85" s="2" t="s">
        <v>25</v>
      </c>
    </row>
    <row r="86" customFormat="false" ht="26.85" hidden="false" customHeight="false" outlineLevel="0" collapsed="false">
      <c r="A86" s="2" t="s">
        <v>217</v>
      </c>
      <c r="B86" s="3" t="s">
        <v>218</v>
      </c>
      <c r="C86" s="3" t="s">
        <v>177</v>
      </c>
      <c r="D86" s="3" t="s">
        <v>165</v>
      </c>
      <c r="E86" s="3" t="s">
        <v>167</v>
      </c>
      <c r="F86" s="4" t="n">
        <v>45700</v>
      </c>
      <c r="G86" s="5" t="n">
        <v>2250000</v>
      </c>
      <c r="H86" s="6" t="n">
        <v>4</v>
      </c>
      <c r="I86" s="6" t="n">
        <v>4</v>
      </c>
      <c r="J86" s="6" t="n">
        <v>4</v>
      </c>
      <c r="K86" s="6" t="n">
        <v>4</v>
      </c>
      <c r="L86" s="6" t="n">
        <v>4</v>
      </c>
      <c r="M86" s="6" t="n">
        <v>4</v>
      </c>
      <c r="N86" s="7" t="n">
        <f aca="false">AVERAGE(H86:M86)</f>
        <v>4</v>
      </c>
      <c r="O86" s="2" t="str">
        <f aca="false">IF(ROUND(N86,0)&lt;=1,"Deficiente",IF(ROUND(N86,0)=2,"Bajo",IF(ROUND(N86,0)=3,"Satisfactorio",IF(ROUND(N86,0)=4,"Bueno","Excelente"))))</f>
        <v>Bueno</v>
      </c>
      <c r="P86" s="8" t="n">
        <f aca="false">MAX(0,MIN(0.2,(N86-3)/2*0.2))</f>
        <v>0.1</v>
      </c>
      <c r="Q86" s="9" t="n">
        <f aca="false">G86*12*P86</f>
        <v>2700000</v>
      </c>
      <c r="R86" s="10" t="s">
        <v>60</v>
      </c>
      <c r="S86" s="2" t="s">
        <v>31</v>
      </c>
    </row>
    <row r="87" customFormat="false" ht="26.85" hidden="false" customHeight="false" outlineLevel="0" collapsed="false">
      <c r="A87" s="2" t="s">
        <v>219</v>
      </c>
      <c r="B87" s="3" t="s">
        <v>220</v>
      </c>
      <c r="C87" s="3" t="s">
        <v>177</v>
      </c>
      <c r="D87" s="3" t="s">
        <v>165</v>
      </c>
      <c r="E87" s="3" t="s">
        <v>170</v>
      </c>
      <c r="F87" s="4" t="n">
        <v>45682</v>
      </c>
      <c r="G87" s="5" t="n">
        <v>1510000</v>
      </c>
      <c r="H87" s="6" t="n">
        <v>4</v>
      </c>
      <c r="I87" s="6" t="n">
        <v>4</v>
      </c>
      <c r="J87" s="6" t="n">
        <v>4</v>
      </c>
      <c r="K87" s="6" t="n">
        <v>4</v>
      </c>
      <c r="L87" s="6" t="n">
        <v>4</v>
      </c>
      <c r="M87" s="6" t="n">
        <v>4</v>
      </c>
      <c r="N87" s="7" t="n">
        <f aca="false">AVERAGE(H87:M87)</f>
        <v>4</v>
      </c>
      <c r="O87" s="2" t="str">
        <f aca="false">IF(ROUND(N87,0)&lt;=1,"Deficiente",IF(ROUND(N87,0)=2,"Bajo",IF(ROUND(N87,0)=3,"Satisfactorio",IF(ROUND(N87,0)=4,"Bueno","Excelente"))))</f>
        <v>Bueno</v>
      </c>
      <c r="P87" s="8" t="n">
        <f aca="false">MAX(0,MIN(0.2,(N87-3)/2*0.2))</f>
        <v>0.1</v>
      </c>
      <c r="Q87" s="9" t="n">
        <f aca="false">G87*12*P87</f>
        <v>1812000</v>
      </c>
      <c r="R87" s="10" t="s">
        <v>35</v>
      </c>
      <c r="S87" s="2" t="s">
        <v>31</v>
      </c>
    </row>
    <row r="88" customFormat="false" ht="26.85" hidden="false" customHeight="false" outlineLevel="0" collapsed="false">
      <c r="A88" s="2" t="s">
        <v>221</v>
      </c>
      <c r="B88" s="3" t="s">
        <v>222</v>
      </c>
      <c r="C88" s="3" t="s">
        <v>177</v>
      </c>
      <c r="D88" s="3" t="s">
        <v>165</v>
      </c>
      <c r="E88" s="3" t="s">
        <v>172</v>
      </c>
      <c r="F88" s="4" t="n">
        <v>45722</v>
      </c>
      <c r="G88" s="5" t="n">
        <v>1980000</v>
      </c>
      <c r="H88" s="6" t="n">
        <v>3</v>
      </c>
      <c r="I88" s="6" t="n">
        <v>3</v>
      </c>
      <c r="J88" s="6" t="n">
        <v>4</v>
      </c>
      <c r="K88" s="6" t="n">
        <v>3</v>
      </c>
      <c r="L88" s="6" t="n">
        <v>3</v>
      </c>
      <c r="M88" s="6" t="n">
        <v>3</v>
      </c>
      <c r="N88" s="7" t="n">
        <f aca="false">AVERAGE(H88:M88)</f>
        <v>3.16666666666667</v>
      </c>
      <c r="O88" s="2" t="str">
        <f aca="false">IF(ROUND(N88,0)&lt;=1,"Deficiente",IF(ROUND(N88,0)=2,"Bajo",IF(ROUND(N88,0)=3,"Satisfactorio",IF(ROUND(N88,0)=4,"Bueno","Excelente"))))</f>
        <v>Satisfactorio</v>
      </c>
      <c r="P88" s="8" t="n">
        <f aca="false">MAX(0,MIN(0.2,(N88-3)/2*0.2))</f>
        <v>0.0166666666666667</v>
      </c>
      <c r="Q88" s="9" t="n">
        <f aca="false">G88*12*P88</f>
        <v>396000</v>
      </c>
      <c r="R88" s="10" t="s">
        <v>112</v>
      </c>
      <c r="S88" s="2" t="s">
        <v>51</v>
      </c>
    </row>
    <row r="89" customFormat="false" ht="39.55" hidden="false" customHeight="false" outlineLevel="0" collapsed="false">
      <c r="A89" s="2" t="s">
        <v>223</v>
      </c>
      <c r="B89" s="3" t="s">
        <v>224</v>
      </c>
      <c r="C89" s="3" t="s">
        <v>177</v>
      </c>
      <c r="D89" s="3" t="s">
        <v>165</v>
      </c>
      <c r="E89" s="3" t="s">
        <v>174</v>
      </c>
      <c r="F89" s="4" t="n">
        <v>45720</v>
      </c>
      <c r="G89" s="5" t="n">
        <v>2230000</v>
      </c>
      <c r="H89" s="6" t="n">
        <v>5</v>
      </c>
      <c r="I89" s="6" t="n">
        <v>4</v>
      </c>
      <c r="J89" s="6" t="n">
        <v>4</v>
      </c>
      <c r="K89" s="6" t="n">
        <v>5</v>
      </c>
      <c r="L89" s="6" t="n">
        <v>4</v>
      </c>
      <c r="M89" s="6" t="n">
        <v>4</v>
      </c>
      <c r="N89" s="7" t="n">
        <f aca="false">AVERAGE(H89:M89)</f>
        <v>4.33333333333333</v>
      </c>
      <c r="O89" s="2" t="str">
        <f aca="false">IF(ROUND(N89,0)&lt;=1,"Deficiente",IF(ROUND(N89,0)=2,"Bajo",IF(ROUND(N89,0)=3,"Satisfactorio",IF(ROUND(N89,0)=4,"Bueno","Excelente"))))</f>
        <v>Bueno</v>
      </c>
      <c r="P89" s="8" t="n">
        <f aca="false">MAX(0,MIN(0.2,(N89-3)/2*0.2))</f>
        <v>0.133333333333333</v>
      </c>
      <c r="Q89" s="9" t="n">
        <f aca="false">G89*12*P89</f>
        <v>3568000</v>
      </c>
      <c r="R89" s="10" t="s">
        <v>67</v>
      </c>
      <c r="S89" s="2" t="s">
        <v>31</v>
      </c>
    </row>
    <row r="90" customFormat="false" ht="26.85" hidden="false" customHeight="false" outlineLevel="0" collapsed="false">
      <c r="A90" s="2" t="s">
        <v>225</v>
      </c>
      <c r="B90" s="3" t="s">
        <v>226</v>
      </c>
      <c r="C90" s="3" t="s">
        <v>177</v>
      </c>
      <c r="D90" s="3" t="s">
        <v>165</v>
      </c>
      <c r="E90" s="3" t="s">
        <v>167</v>
      </c>
      <c r="F90" s="4" t="n">
        <v>45712</v>
      </c>
      <c r="G90" s="5" t="n">
        <v>1430000</v>
      </c>
      <c r="H90" s="6" t="n">
        <v>4</v>
      </c>
      <c r="I90" s="6" t="n">
        <v>5</v>
      </c>
      <c r="J90" s="6" t="n">
        <v>4</v>
      </c>
      <c r="K90" s="6" t="n">
        <v>4</v>
      </c>
      <c r="L90" s="6" t="n">
        <v>3</v>
      </c>
      <c r="M90" s="6" t="n">
        <v>4</v>
      </c>
      <c r="N90" s="7" t="n">
        <f aca="false">AVERAGE(H90:M90)</f>
        <v>4</v>
      </c>
      <c r="O90" s="2" t="str">
        <f aca="false">IF(ROUND(N90,0)&lt;=1,"Deficiente",IF(ROUND(N90,0)=2,"Bajo",IF(ROUND(N90,0)=3,"Satisfactorio",IF(ROUND(N90,0)=4,"Bueno","Excelente"))))</f>
        <v>Bueno</v>
      </c>
      <c r="P90" s="8" t="n">
        <f aca="false">MAX(0,MIN(0.2,(N90-3)/2*0.2))</f>
        <v>0.1</v>
      </c>
      <c r="Q90" s="9" t="n">
        <f aca="false">G90*12*P90</f>
        <v>1716000</v>
      </c>
      <c r="R90" s="10" t="s">
        <v>24</v>
      </c>
      <c r="S90" s="2" t="s">
        <v>25</v>
      </c>
    </row>
    <row r="91" customFormat="false" ht="26.85" hidden="false" customHeight="false" outlineLevel="0" collapsed="false">
      <c r="A91" s="2" t="s">
        <v>227</v>
      </c>
      <c r="B91" s="3" t="s">
        <v>228</v>
      </c>
      <c r="C91" s="3" t="s">
        <v>177</v>
      </c>
      <c r="D91" s="3" t="s">
        <v>165</v>
      </c>
      <c r="E91" s="3" t="s">
        <v>170</v>
      </c>
      <c r="F91" s="4" t="n">
        <v>45842</v>
      </c>
      <c r="G91" s="5" t="n">
        <v>2440000</v>
      </c>
      <c r="H91" s="6" t="n">
        <v>4</v>
      </c>
      <c r="I91" s="6" t="n">
        <v>4</v>
      </c>
      <c r="J91" s="6" t="n">
        <v>4</v>
      </c>
      <c r="K91" s="6" t="n">
        <v>4</v>
      </c>
      <c r="L91" s="6" t="n">
        <v>4</v>
      </c>
      <c r="M91" s="6" t="n">
        <v>4</v>
      </c>
      <c r="N91" s="7" t="n">
        <f aca="false">AVERAGE(H91:M91)</f>
        <v>4</v>
      </c>
      <c r="O91" s="2" t="str">
        <f aca="false">IF(ROUND(N91,0)&lt;=1,"Deficiente",IF(ROUND(N91,0)=2,"Bajo",IF(ROUND(N91,0)=3,"Satisfactorio",IF(ROUND(N91,0)=4,"Bueno","Excelente"))))</f>
        <v>Bueno</v>
      </c>
      <c r="P91" s="8" t="n">
        <f aca="false">MAX(0,MIN(0.2,(N91-3)/2*0.2))</f>
        <v>0.1</v>
      </c>
      <c r="Q91" s="9" t="n">
        <f aca="false">G91*12*P91</f>
        <v>2928000</v>
      </c>
      <c r="R91" s="10" t="s">
        <v>60</v>
      </c>
      <c r="S91" s="2" t="s">
        <v>31</v>
      </c>
    </row>
    <row r="92" customFormat="false" ht="26.85" hidden="false" customHeight="false" outlineLevel="0" collapsed="false">
      <c r="A92" s="2" t="s">
        <v>229</v>
      </c>
      <c r="B92" s="3" t="s">
        <v>230</v>
      </c>
      <c r="C92" s="3" t="s">
        <v>177</v>
      </c>
      <c r="D92" s="3" t="s">
        <v>165</v>
      </c>
      <c r="E92" s="3" t="s">
        <v>172</v>
      </c>
      <c r="F92" s="4" t="n">
        <v>45823</v>
      </c>
      <c r="G92" s="5" t="n">
        <v>2440000</v>
      </c>
      <c r="H92" s="6" t="n">
        <v>5</v>
      </c>
      <c r="I92" s="6" t="n">
        <v>5</v>
      </c>
      <c r="J92" s="6" t="n">
        <v>5</v>
      </c>
      <c r="K92" s="6" t="n">
        <v>4</v>
      </c>
      <c r="L92" s="6" t="n">
        <v>5</v>
      </c>
      <c r="M92" s="6" t="n">
        <v>4</v>
      </c>
      <c r="N92" s="7" t="n">
        <f aca="false">AVERAGE(H92:M92)</f>
        <v>4.66666666666667</v>
      </c>
      <c r="O92" s="2" t="str">
        <f aca="false">IF(ROUND(N92,0)&lt;=1,"Deficiente",IF(ROUND(N92,0)=2,"Bajo",IF(ROUND(N92,0)=3,"Satisfactorio",IF(ROUND(N92,0)=4,"Bueno","Excelente"))))</f>
        <v>Excelente</v>
      </c>
      <c r="P92" s="8" t="n">
        <f aca="false">MAX(0,MIN(0.2,(N92-3)/2*0.2))</f>
        <v>0.166666666666667</v>
      </c>
      <c r="Q92" s="9" t="n">
        <f aca="false">G92*12*P92</f>
        <v>4880000</v>
      </c>
      <c r="R92" s="10" t="s">
        <v>30</v>
      </c>
      <c r="S92" s="2" t="s">
        <v>31</v>
      </c>
    </row>
    <row r="93" customFormat="false" ht="26.85" hidden="false" customHeight="false" outlineLevel="0" collapsed="false">
      <c r="A93" s="2" t="s">
        <v>231</v>
      </c>
      <c r="B93" s="3" t="s">
        <v>232</v>
      </c>
      <c r="C93" s="3" t="s">
        <v>177</v>
      </c>
      <c r="D93" s="3" t="s">
        <v>165</v>
      </c>
      <c r="E93" s="3" t="s">
        <v>174</v>
      </c>
      <c r="F93" s="4" t="n">
        <v>45686</v>
      </c>
      <c r="G93" s="5" t="n">
        <v>2440000</v>
      </c>
      <c r="H93" s="6" t="n">
        <v>4</v>
      </c>
      <c r="I93" s="6" t="n">
        <v>4</v>
      </c>
      <c r="J93" s="6" t="n">
        <v>4</v>
      </c>
      <c r="K93" s="6" t="n">
        <v>3</v>
      </c>
      <c r="L93" s="6" t="n">
        <v>4</v>
      </c>
      <c r="M93" s="6" t="n">
        <v>4</v>
      </c>
      <c r="N93" s="7" t="n">
        <f aca="false">AVERAGE(H93:M93)</f>
        <v>3.83333333333333</v>
      </c>
      <c r="O93" s="2" t="str">
        <f aca="false">IF(ROUND(N93,0)&lt;=1,"Deficiente",IF(ROUND(N93,0)=2,"Bajo",IF(ROUND(N93,0)=3,"Satisfactorio",IF(ROUND(N93,0)=4,"Bueno","Excelente"))))</f>
        <v>Bueno</v>
      </c>
      <c r="P93" s="8" t="n">
        <f aca="false">MAX(0,MIN(0.2,(N93-3)/2*0.2))</f>
        <v>0.0833333333333334</v>
      </c>
      <c r="Q93" s="9" t="n">
        <f aca="false">G93*12*P93</f>
        <v>2440000</v>
      </c>
      <c r="R93" s="10" t="s">
        <v>35</v>
      </c>
      <c r="S93" s="2" t="s">
        <v>31</v>
      </c>
    </row>
    <row r="94" customFormat="false" ht="26.85" hidden="false" customHeight="false" outlineLevel="0" collapsed="false">
      <c r="A94" s="2" t="s">
        <v>233</v>
      </c>
      <c r="B94" s="3" t="s">
        <v>234</v>
      </c>
      <c r="C94" s="3" t="s">
        <v>177</v>
      </c>
      <c r="D94" s="3" t="s">
        <v>165</v>
      </c>
      <c r="E94" s="3" t="s">
        <v>167</v>
      </c>
      <c r="F94" s="4" t="n">
        <v>45853</v>
      </c>
      <c r="G94" s="5" t="n">
        <v>1550000</v>
      </c>
      <c r="H94" s="6" t="n">
        <v>3</v>
      </c>
      <c r="I94" s="6" t="n">
        <v>3</v>
      </c>
      <c r="J94" s="6" t="n">
        <v>3</v>
      </c>
      <c r="K94" s="6" t="n">
        <v>3</v>
      </c>
      <c r="L94" s="6" t="n">
        <v>3</v>
      </c>
      <c r="M94" s="6" t="n">
        <v>5</v>
      </c>
      <c r="N94" s="7" t="n">
        <f aca="false">AVERAGE(H94:M94)</f>
        <v>3.33333333333333</v>
      </c>
      <c r="O94" s="2" t="str">
        <f aca="false">IF(ROUND(N94,0)&lt;=1,"Deficiente",IF(ROUND(N94,0)=2,"Bajo",IF(ROUND(N94,0)=3,"Satisfactorio",IF(ROUND(N94,0)=4,"Bueno","Excelente"))))</f>
        <v>Satisfactorio</v>
      </c>
      <c r="P94" s="8" t="n">
        <f aca="false">MAX(0,MIN(0.2,(N94-3)/2*0.2))</f>
        <v>0.0333333333333334</v>
      </c>
      <c r="Q94" s="9" t="n">
        <f aca="false">G94*12*P94</f>
        <v>620000</v>
      </c>
      <c r="R94" s="10" t="s">
        <v>50</v>
      </c>
      <c r="S94" s="2" t="s">
        <v>51</v>
      </c>
    </row>
    <row r="95" customFormat="false" ht="39.55" hidden="false" customHeight="false" outlineLevel="0" collapsed="false">
      <c r="A95" s="2" t="s">
        <v>235</v>
      </c>
      <c r="B95" s="3" t="s">
        <v>236</v>
      </c>
      <c r="C95" s="3" t="s">
        <v>177</v>
      </c>
      <c r="D95" s="3" t="s">
        <v>165</v>
      </c>
      <c r="E95" s="3" t="s">
        <v>170</v>
      </c>
      <c r="F95" s="4" t="n">
        <v>45658</v>
      </c>
      <c r="G95" s="5" t="n">
        <v>2520000</v>
      </c>
      <c r="H95" s="6" t="n">
        <v>4</v>
      </c>
      <c r="I95" s="6" t="n">
        <v>3</v>
      </c>
      <c r="J95" s="6" t="n">
        <v>3</v>
      </c>
      <c r="K95" s="6" t="n">
        <v>4</v>
      </c>
      <c r="L95" s="6" t="n">
        <v>4</v>
      </c>
      <c r="M95" s="6" t="n">
        <v>4</v>
      </c>
      <c r="N95" s="7" t="n">
        <f aca="false">AVERAGE(H95:M95)</f>
        <v>3.66666666666667</v>
      </c>
      <c r="O95" s="2" t="str">
        <f aca="false">IF(ROUND(N95,0)&lt;=1,"Deficiente",IF(ROUND(N95,0)=2,"Bajo",IF(ROUND(N95,0)=3,"Satisfactorio",IF(ROUND(N95,0)=4,"Bueno","Excelente"))))</f>
        <v>Bueno</v>
      </c>
      <c r="P95" s="8" t="n">
        <f aca="false">MAX(0,MIN(0.2,(N95-3)/2*0.2))</f>
        <v>0.0666666666666667</v>
      </c>
      <c r="Q95" s="9" t="n">
        <f aca="false">G95*12*P95</f>
        <v>2016000</v>
      </c>
      <c r="R95" s="10" t="s">
        <v>45</v>
      </c>
      <c r="S95" s="2" t="s">
        <v>31</v>
      </c>
    </row>
    <row r="96" customFormat="false" ht="26.85" hidden="false" customHeight="false" outlineLevel="0" collapsed="false">
      <c r="A96" s="2" t="s">
        <v>237</v>
      </c>
      <c r="B96" s="3" t="s">
        <v>238</v>
      </c>
      <c r="C96" s="3" t="s">
        <v>177</v>
      </c>
      <c r="D96" s="3" t="s">
        <v>165</v>
      </c>
      <c r="E96" s="3" t="s">
        <v>172</v>
      </c>
      <c r="F96" s="4" t="n">
        <v>45858</v>
      </c>
      <c r="G96" s="5" t="n">
        <v>2520000</v>
      </c>
      <c r="H96" s="6" t="n">
        <v>5</v>
      </c>
      <c r="I96" s="6" t="n">
        <v>4</v>
      </c>
      <c r="J96" s="6" t="n">
        <v>3</v>
      </c>
      <c r="K96" s="6" t="n">
        <v>4</v>
      </c>
      <c r="L96" s="6" t="n">
        <v>4</v>
      </c>
      <c r="M96" s="6" t="n">
        <v>4</v>
      </c>
      <c r="N96" s="7" t="n">
        <f aca="false">AVERAGE(H96:M96)</f>
        <v>4</v>
      </c>
      <c r="O96" s="2" t="str">
        <f aca="false">IF(ROUND(N96,0)&lt;=1,"Deficiente",IF(ROUND(N96,0)=2,"Bajo",IF(ROUND(N96,0)=3,"Satisfactorio",IF(ROUND(N96,0)=4,"Bueno","Excelente"))))</f>
        <v>Bueno</v>
      </c>
      <c r="P96" s="8" t="n">
        <f aca="false">MAX(0,MIN(0.2,(N96-3)/2*0.2))</f>
        <v>0.1</v>
      </c>
      <c r="Q96" s="9" t="n">
        <f aca="false">G96*12*P96</f>
        <v>3024000</v>
      </c>
      <c r="R96" s="10" t="s">
        <v>24</v>
      </c>
      <c r="S96" s="2" t="s">
        <v>31</v>
      </c>
    </row>
    <row r="97" customFormat="false" ht="26.85" hidden="false" customHeight="false" outlineLevel="0" collapsed="false">
      <c r="A97" s="2" t="s">
        <v>239</v>
      </c>
      <c r="B97" s="3" t="s">
        <v>240</v>
      </c>
      <c r="C97" s="3" t="s">
        <v>177</v>
      </c>
      <c r="D97" s="3" t="s">
        <v>165</v>
      </c>
      <c r="E97" s="3" t="s">
        <v>174</v>
      </c>
      <c r="F97" s="4" t="n">
        <v>45778</v>
      </c>
      <c r="G97" s="5" t="n">
        <v>1670000</v>
      </c>
      <c r="H97" s="6" t="n">
        <v>4</v>
      </c>
      <c r="I97" s="6" t="n">
        <v>4</v>
      </c>
      <c r="J97" s="6" t="n">
        <v>4</v>
      </c>
      <c r="K97" s="6" t="n">
        <v>5</v>
      </c>
      <c r="L97" s="6" t="n">
        <v>4</v>
      </c>
      <c r="M97" s="6" t="n">
        <v>4</v>
      </c>
      <c r="N97" s="7" t="n">
        <f aca="false">AVERAGE(H97:M97)</f>
        <v>4.16666666666667</v>
      </c>
      <c r="O97" s="2" t="str">
        <f aca="false">IF(ROUND(N97,0)&lt;=1,"Deficiente",IF(ROUND(N97,0)=2,"Bajo",IF(ROUND(N97,0)=3,"Satisfactorio",IF(ROUND(N97,0)=4,"Bueno","Excelente"))))</f>
        <v>Bueno</v>
      </c>
      <c r="P97" s="8" t="n">
        <f aca="false">MAX(0,MIN(0.2,(N97-3)/2*0.2))</f>
        <v>0.116666666666667</v>
      </c>
      <c r="Q97" s="9" t="n">
        <f aca="false">G97*12*P97</f>
        <v>2338000</v>
      </c>
      <c r="R97" s="10" t="s">
        <v>35</v>
      </c>
      <c r="S97" s="2" t="s">
        <v>31</v>
      </c>
    </row>
    <row r="98" customFormat="false" ht="26.85" hidden="false" customHeight="false" outlineLevel="0" collapsed="false">
      <c r="A98" s="2" t="s">
        <v>241</v>
      </c>
      <c r="B98" s="3" t="s">
        <v>242</v>
      </c>
      <c r="C98" s="3" t="s">
        <v>177</v>
      </c>
      <c r="D98" s="3" t="s">
        <v>165</v>
      </c>
      <c r="E98" s="3" t="s">
        <v>167</v>
      </c>
      <c r="F98" s="4" t="n">
        <v>45740</v>
      </c>
      <c r="G98" s="5" t="n">
        <v>2250000</v>
      </c>
      <c r="H98" s="6" t="n">
        <v>4</v>
      </c>
      <c r="I98" s="6" t="n">
        <v>5</v>
      </c>
      <c r="J98" s="6" t="n">
        <v>4</v>
      </c>
      <c r="K98" s="6" t="n">
        <v>4</v>
      </c>
      <c r="L98" s="6" t="n">
        <v>4</v>
      </c>
      <c r="M98" s="6" t="n">
        <v>3</v>
      </c>
      <c r="N98" s="7" t="n">
        <f aca="false">AVERAGE(H98:M98)</f>
        <v>4</v>
      </c>
      <c r="O98" s="2" t="str">
        <f aca="false">IF(ROUND(N98,0)&lt;=1,"Deficiente",IF(ROUND(N98,0)=2,"Bajo",IF(ROUND(N98,0)=3,"Satisfactorio",IF(ROUND(N98,0)=4,"Bueno","Excelente"))))</f>
        <v>Bueno</v>
      </c>
      <c r="P98" s="8" t="n">
        <f aca="false">MAX(0,MIN(0.2,(N98-3)/2*0.2))</f>
        <v>0.1</v>
      </c>
      <c r="Q98" s="9" t="n">
        <f aca="false">G98*12*P98</f>
        <v>2700000</v>
      </c>
      <c r="R98" s="10" t="s">
        <v>60</v>
      </c>
      <c r="S98" s="2" t="s">
        <v>31</v>
      </c>
    </row>
    <row r="99" customFormat="false" ht="26.85" hidden="false" customHeight="false" outlineLevel="0" collapsed="false">
      <c r="A99" s="2" t="s">
        <v>243</v>
      </c>
      <c r="B99" s="3" t="s">
        <v>244</v>
      </c>
      <c r="C99" s="3" t="s">
        <v>177</v>
      </c>
      <c r="D99" s="3" t="s">
        <v>165</v>
      </c>
      <c r="E99" s="3" t="s">
        <v>170</v>
      </c>
      <c r="F99" s="4" t="n">
        <v>45801</v>
      </c>
      <c r="G99" s="5" t="n">
        <v>1740000</v>
      </c>
      <c r="H99" s="6" t="n">
        <v>5</v>
      </c>
      <c r="I99" s="6" t="n">
        <v>4</v>
      </c>
      <c r="J99" s="6" t="n">
        <v>4</v>
      </c>
      <c r="K99" s="6" t="n">
        <v>4</v>
      </c>
      <c r="L99" s="6" t="n">
        <v>4</v>
      </c>
      <c r="M99" s="6" t="n">
        <v>4</v>
      </c>
      <c r="N99" s="7" t="n">
        <f aca="false">AVERAGE(H99:M99)</f>
        <v>4.16666666666667</v>
      </c>
      <c r="O99" s="2" t="str">
        <f aca="false">IF(ROUND(N99,0)&lt;=1,"Deficiente",IF(ROUND(N99,0)=2,"Bajo",IF(ROUND(N99,0)=3,"Satisfactorio",IF(ROUND(N99,0)=4,"Bueno","Excelente"))))</f>
        <v>Bueno</v>
      </c>
      <c r="P99" s="8" t="n">
        <f aca="false">MAX(0,MIN(0.2,(N99-3)/2*0.2))</f>
        <v>0.116666666666667</v>
      </c>
      <c r="Q99" s="9" t="n">
        <f aca="false">G99*12*P99</f>
        <v>2436000</v>
      </c>
      <c r="R99" s="10" t="s">
        <v>24</v>
      </c>
      <c r="S99" s="2" t="s">
        <v>31</v>
      </c>
    </row>
    <row r="100" customFormat="false" ht="26.85" hidden="false" customHeight="false" outlineLevel="0" collapsed="false">
      <c r="A100" s="2" t="s">
        <v>245</v>
      </c>
      <c r="B100" s="3" t="s">
        <v>246</v>
      </c>
      <c r="C100" s="3" t="s">
        <v>177</v>
      </c>
      <c r="D100" s="3" t="s">
        <v>165</v>
      </c>
      <c r="E100" s="3" t="s">
        <v>172</v>
      </c>
      <c r="F100" s="4" t="n">
        <v>45837</v>
      </c>
      <c r="G100" s="5" t="n">
        <v>2190000</v>
      </c>
      <c r="H100" s="6" t="n">
        <v>5</v>
      </c>
      <c r="I100" s="6" t="n">
        <v>4</v>
      </c>
      <c r="J100" s="6" t="n">
        <v>4</v>
      </c>
      <c r="K100" s="6" t="n">
        <v>4</v>
      </c>
      <c r="L100" s="6" t="n">
        <v>3</v>
      </c>
      <c r="M100" s="6" t="n">
        <v>4</v>
      </c>
      <c r="N100" s="7" t="n">
        <f aca="false">AVERAGE(H100:M100)</f>
        <v>4</v>
      </c>
      <c r="O100" s="2" t="str">
        <f aca="false">IF(ROUND(N100,0)&lt;=1,"Deficiente",IF(ROUND(N100,0)=2,"Bajo",IF(ROUND(N100,0)=3,"Satisfactorio",IF(ROUND(N100,0)=4,"Bueno","Excelente"))))</f>
        <v>Bueno</v>
      </c>
      <c r="P100" s="8" t="n">
        <f aca="false">MAX(0,MIN(0.2,(N100-3)/2*0.2))</f>
        <v>0.1</v>
      </c>
      <c r="Q100" s="9" t="n">
        <f aca="false">G100*12*P100</f>
        <v>2628000</v>
      </c>
      <c r="R100" s="10" t="s">
        <v>60</v>
      </c>
      <c r="S100" s="2" t="s">
        <v>31</v>
      </c>
    </row>
    <row r="101" customFormat="false" ht="26.85" hidden="false" customHeight="false" outlineLevel="0" collapsed="false">
      <c r="A101" s="2" t="s">
        <v>247</v>
      </c>
      <c r="B101" s="3" t="s">
        <v>248</v>
      </c>
      <c r="C101" s="3" t="s">
        <v>177</v>
      </c>
      <c r="D101" s="3" t="s">
        <v>165</v>
      </c>
      <c r="E101" s="3" t="s">
        <v>174</v>
      </c>
      <c r="F101" s="4" t="n">
        <v>45880</v>
      </c>
      <c r="G101" s="5" t="n">
        <v>2360000</v>
      </c>
      <c r="H101" s="6" t="n">
        <v>3</v>
      </c>
      <c r="I101" s="6" t="n">
        <v>3</v>
      </c>
      <c r="J101" s="6" t="n">
        <v>3</v>
      </c>
      <c r="K101" s="6" t="n">
        <v>3</v>
      </c>
      <c r="L101" s="6" t="n">
        <v>3</v>
      </c>
      <c r="M101" s="6" t="n">
        <v>3</v>
      </c>
      <c r="N101" s="7" t="n">
        <f aca="false">AVERAGE(H101:M101)</f>
        <v>3</v>
      </c>
      <c r="O101" s="2" t="str">
        <f aca="false">IF(ROUND(N101,0)&lt;=1,"Deficiente",IF(ROUND(N101,0)=2,"Bajo",IF(ROUND(N101,0)=3,"Satisfactorio",IF(ROUND(N101,0)=4,"Bueno","Excelente"))))</f>
        <v>Satisfactorio</v>
      </c>
      <c r="P101" s="8" t="n">
        <f aca="false">MAX(0,MIN(0.2,(N101-3)/2*0.2))</f>
        <v>0</v>
      </c>
      <c r="Q101" s="9" t="n">
        <f aca="false">G101*12*P101</f>
        <v>0</v>
      </c>
      <c r="R101" s="10" t="s">
        <v>50</v>
      </c>
      <c r="S101" s="2" t="s">
        <v>31</v>
      </c>
    </row>
    <row r="102" customFormat="false" ht="26.85" hidden="false" customHeight="false" outlineLevel="0" collapsed="false">
      <c r="A102" s="2" t="s">
        <v>249</v>
      </c>
      <c r="B102" s="3" t="s">
        <v>250</v>
      </c>
      <c r="C102" s="3" t="s">
        <v>251</v>
      </c>
      <c r="D102" s="3" t="s">
        <v>252</v>
      </c>
      <c r="E102" s="3" t="s">
        <v>20</v>
      </c>
      <c r="F102" s="4" t="n">
        <v>45738</v>
      </c>
      <c r="G102" s="5" t="n">
        <v>7570000</v>
      </c>
      <c r="H102" s="6" t="n">
        <v>4</v>
      </c>
      <c r="I102" s="6" t="n">
        <v>4</v>
      </c>
      <c r="J102" s="6" t="n">
        <v>4</v>
      </c>
      <c r="K102" s="6" t="n">
        <v>4</v>
      </c>
      <c r="L102" s="6" t="n">
        <v>4</v>
      </c>
      <c r="M102" s="6" t="n">
        <v>4</v>
      </c>
      <c r="N102" s="7" t="n">
        <f aca="false">AVERAGE(H102:M102)</f>
        <v>4</v>
      </c>
      <c r="O102" s="2" t="str">
        <f aca="false">IF(ROUND(N102,0)&lt;=1,"Deficiente",IF(ROUND(N102,0)=2,"Bajo",IF(ROUND(N102,0)=3,"Satisfactorio",IF(ROUND(N102,0)=4,"Bueno","Excelente"))))</f>
        <v>Bueno</v>
      </c>
      <c r="P102" s="8" t="n">
        <f aca="false">MAX(0,MIN(0.2,(N102-3)/2*0.2))</f>
        <v>0.1</v>
      </c>
      <c r="Q102" s="9" t="n">
        <f aca="false">G102*12*P102</f>
        <v>9084000</v>
      </c>
      <c r="R102" s="10" t="s">
        <v>60</v>
      </c>
      <c r="S102" s="2" t="s">
        <v>31</v>
      </c>
    </row>
    <row r="103" customFormat="false" ht="26.85" hidden="false" customHeight="false" outlineLevel="0" collapsed="false">
      <c r="A103" s="2" t="s">
        <v>253</v>
      </c>
      <c r="B103" s="3" t="s">
        <v>254</v>
      </c>
      <c r="C103" s="3" t="s">
        <v>255</v>
      </c>
      <c r="D103" s="3" t="s">
        <v>252</v>
      </c>
      <c r="E103" s="3" t="s">
        <v>251</v>
      </c>
      <c r="F103" s="4" t="n">
        <v>45866</v>
      </c>
      <c r="G103" s="5" t="n">
        <v>5120000</v>
      </c>
      <c r="H103" s="6" t="n">
        <v>4</v>
      </c>
      <c r="I103" s="6" t="n">
        <v>4</v>
      </c>
      <c r="J103" s="6" t="n">
        <v>4</v>
      </c>
      <c r="K103" s="6" t="n">
        <v>4</v>
      </c>
      <c r="L103" s="6" t="n">
        <v>4</v>
      </c>
      <c r="M103" s="6" t="n">
        <v>4</v>
      </c>
      <c r="N103" s="7" t="n">
        <f aca="false">AVERAGE(H103:M103)</f>
        <v>4</v>
      </c>
      <c r="O103" s="2" t="str">
        <f aca="false">IF(ROUND(N103,0)&lt;=1,"Deficiente",IF(ROUND(N103,0)=2,"Bajo",IF(ROUND(N103,0)=3,"Satisfactorio",IF(ROUND(N103,0)=4,"Bueno","Excelente"))))</f>
        <v>Bueno</v>
      </c>
      <c r="P103" s="8" t="n">
        <f aca="false">MAX(0,MIN(0.2,(N103-3)/2*0.2))</f>
        <v>0.1</v>
      </c>
      <c r="Q103" s="9" t="n">
        <f aca="false">G103*12*P103</f>
        <v>6144000</v>
      </c>
      <c r="R103" s="10" t="s">
        <v>60</v>
      </c>
      <c r="S103" s="2" t="s">
        <v>31</v>
      </c>
    </row>
    <row r="104" customFormat="false" ht="26.85" hidden="false" customHeight="false" outlineLevel="0" collapsed="false">
      <c r="A104" s="2" t="s">
        <v>256</v>
      </c>
      <c r="B104" s="3" t="s">
        <v>257</v>
      </c>
      <c r="C104" s="3" t="s">
        <v>255</v>
      </c>
      <c r="D104" s="3" t="s">
        <v>252</v>
      </c>
      <c r="E104" s="3" t="s">
        <v>251</v>
      </c>
      <c r="F104" s="4" t="n">
        <v>45780</v>
      </c>
      <c r="G104" s="5" t="n">
        <v>4520000</v>
      </c>
      <c r="H104" s="6" t="n">
        <v>5</v>
      </c>
      <c r="I104" s="6" t="n">
        <v>5</v>
      </c>
      <c r="J104" s="6" t="n">
        <v>5</v>
      </c>
      <c r="K104" s="6" t="n">
        <v>5</v>
      </c>
      <c r="L104" s="6" t="n">
        <v>5</v>
      </c>
      <c r="M104" s="6" t="n">
        <v>5</v>
      </c>
      <c r="N104" s="7" t="n">
        <f aca="false">AVERAGE(H104:M104)</f>
        <v>5</v>
      </c>
      <c r="O104" s="2" t="str">
        <f aca="false">IF(ROUND(N104,0)&lt;=1,"Deficiente",IF(ROUND(N104,0)=2,"Bajo",IF(ROUND(N104,0)=3,"Satisfactorio",IF(ROUND(N104,0)=4,"Bueno","Excelente"))))</f>
        <v>Excelente</v>
      </c>
      <c r="P104" s="8" t="n">
        <f aca="false">MAX(0,MIN(0.2,(N104-3)/2*0.2))</f>
        <v>0.2</v>
      </c>
      <c r="Q104" s="9" t="n">
        <f aca="false">G104*12*P104</f>
        <v>10848000</v>
      </c>
      <c r="R104" s="10" t="s">
        <v>30</v>
      </c>
      <c r="S104" s="2" t="s">
        <v>25</v>
      </c>
    </row>
    <row r="105" customFormat="false" ht="26.85" hidden="false" customHeight="false" outlineLevel="0" collapsed="false">
      <c r="A105" s="2" t="s">
        <v>258</v>
      </c>
      <c r="B105" s="3" t="s">
        <v>259</v>
      </c>
      <c r="C105" s="3" t="s">
        <v>255</v>
      </c>
      <c r="D105" s="3" t="s">
        <v>252</v>
      </c>
      <c r="E105" s="3" t="s">
        <v>251</v>
      </c>
      <c r="F105" s="4" t="n">
        <v>45682</v>
      </c>
      <c r="G105" s="5" t="n">
        <v>5170000</v>
      </c>
      <c r="H105" s="6" t="n">
        <v>5</v>
      </c>
      <c r="I105" s="6" t="n">
        <v>5</v>
      </c>
      <c r="J105" s="6" t="n">
        <v>5</v>
      </c>
      <c r="K105" s="6" t="n">
        <v>4</v>
      </c>
      <c r="L105" s="6" t="n">
        <v>5</v>
      </c>
      <c r="M105" s="6" t="n">
        <v>4</v>
      </c>
      <c r="N105" s="7" t="n">
        <f aca="false">AVERAGE(H105:M105)</f>
        <v>4.66666666666667</v>
      </c>
      <c r="O105" s="2" t="str">
        <f aca="false">IF(ROUND(N105,0)&lt;=1,"Deficiente",IF(ROUND(N105,0)=2,"Bajo",IF(ROUND(N105,0)=3,"Satisfactorio",IF(ROUND(N105,0)=4,"Bueno","Excelente"))))</f>
        <v>Excelente</v>
      </c>
      <c r="P105" s="8" t="n">
        <f aca="false">MAX(0,MIN(0.2,(N105-3)/2*0.2))</f>
        <v>0.166666666666667</v>
      </c>
      <c r="Q105" s="9" t="n">
        <f aca="false">G105*12*P105</f>
        <v>10340000</v>
      </c>
      <c r="R105" s="10" t="s">
        <v>30</v>
      </c>
      <c r="S105" s="2" t="s">
        <v>31</v>
      </c>
    </row>
    <row r="106" customFormat="false" ht="26.85" hidden="false" customHeight="false" outlineLevel="0" collapsed="false">
      <c r="A106" s="2" t="s">
        <v>260</v>
      </c>
      <c r="B106" s="3" t="s">
        <v>261</v>
      </c>
      <c r="C106" s="3" t="s">
        <v>262</v>
      </c>
      <c r="D106" s="3" t="s">
        <v>252</v>
      </c>
      <c r="E106" s="3" t="s">
        <v>254</v>
      </c>
      <c r="F106" s="4" t="n">
        <v>45664</v>
      </c>
      <c r="G106" s="5" t="n">
        <v>1750000</v>
      </c>
      <c r="H106" s="6" t="n">
        <v>3</v>
      </c>
      <c r="I106" s="6" t="n">
        <v>3</v>
      </c>
      <c r="J106" s="6" t="n">
        <v>4</v>
      </c>
      <c r="K106" s="6" t="n">
        <v>3</v>
      </c>
      <c r="L106" s="6" t="n">
        <v>3</v>
      </c>
      <c r="M106" s="6" t="n">
        <v>3</v>
      </c>
      <c r="N106" s="7" t="n">
        <f aca="false">AVERAGE(H106:M106)</f>
        <v>3.16666666666667</v>
      </c>
      <c r="O106" s="2" t="str">
        <f aca="false">IF(ROUND(N106,0)&lt;=1,"Deficiente",IF(ROUND(N106,0)=2,"Bajo",IF(ROUND(N106,0)=3,"Satisfactorio",IF(ROUND(N106,0)=4,"Bueno","Excelente"))))</f>
        <v>Satisfactorio</v>
      </c>
      <c r="P106" s="8" t="n">
        <f aca="false">MAX(0,MIN(0.2,(N106-3)/2*0.2))</f>
        <v>0.0166666666666667</v>
      </c>
      <c r="Q106" s="9" t="n">
        <f aca="false">G106*12*P106</f>
        <v>350000</v>
      </c>
      <c r="R106" s="10" t="s">
        <v>112</v>
      </c>
      <c r="S106" s="2" t="s">
        <v>31</v>
      </c>
    </row>
    <row r="107" customFormat="false" ht="26.85" hidden="false" customHeight="false" outlineLevel="0" collapsed="false">
      <c r="A107" s="2" t="s">
        <v>263</v>
      </c>
      <c r="B107" s="3" t="s">
        <v>264</v>
      </c>
      <c r="C107" s="3" t="s">
        <v>262</v>
      </c>
      <c r="D107" s="3" t="s">
        <v>252</v>
      </c>
      <c r="E107" s="3" t="s">
        <v>257</v>
      </c>
      <c r="F107" s="4" t="n">
        <v>45838</v>
      </c>
      <c r="G107" s="5" t="n">
        <v>2470000</v>
      </c>
      <c r="H107" s="6" t="n">
        <v>4</v>
      </c>
      <c r="I107" s="6" t="n">
        <v>4</v>
      </c>
      <c r="J107" s="6" t="n">
        <v>5</v>
      </c>
      <c r="K107" s="6" t="n">
        <v>4</v>
      </c>
      <c r="L107" s="6" t="n">
        <v>4</v>
      </c>
      <c r="M107" s="6" t="n">
        <v>5</v>
      </c>
      <c r="N107" s="7" t="n">
        <f aca="false">AVERAGE(H107:M107)</f>
        <v>4.33333333333333</v>
      </c>
      <c r="O107" s="2" t="str">
        <f aca="false">IF(ROUND(N107,0)&lt;=1,"Deficiente",IF(ROUND(N107,0)=2,"Bajo",IF(ROUND(N107,0)=3,"Satisfactorio",IF(ROUND(N107,0)=4,"Bueno","Excelente"))))</f>
        <v>Bueno</v>
      </c>
      <c r="P107" s="8" t="n">
        <f aca="false">MAX(0,MIN(0.2,(N107-3)/2*0.2))</f>
        <v>0.133333333333333</v>
      </c>
      <c r="Q107" s="9" t="n">
        <f aca="false">G107*12*P107</f>
        <v>3952000</v>
      </c>
      <c r="R107" s="10" t="s">
        <v>24</v>
      </c>
      <c r="S107" s="2" t="s">
        <v>31</v>
      </c>
    </row>
    <row r="108" customFormat="false" ht="39.55" hidden="false" customHeight="false" outlineLevel="0" collapsed="false">
      <c r="A108" s="2" t="s">
        <v>265</v>
      </c>
      <c r="B108" s="3" t="s">
        <v>266</v>
      </c>
      <c r="C108" s="3" t="s">
        <v>262</v>
      </c>
      <c r="D108" s="3" t="s">
        <v>252</v>
      </c>
      <c r="E108" s="3" t="s">
        <v>259</v>
      </c>
      <c r="F108" s="4" t="n">
        <v>45689</v>
      </c>
      <c r="G108" s="5" t="n">
        <v>2240000</v>
      </c>
      <c r="H108" s="6" t="n">
        <v>2</v>
      </c>
      <c r="I108" s="6" t="n">
        <v>2</v>
      </c>
      <c r="J108" s="6" t="n">
        <v>2</v>
      </c>
      <c r="K108" s="6" t="n">
        <v>2</v>
      </c>
      <c r="L108" s="6" t="n">
        <v>2</v>
      </c>
      <c r="M108" s="6" t="n">
        <v>2</v>
      </c>
      <c r="N108" s="7" t="n">
        <f aca="false">AVERAGE(H108:M108)</f>
        <v>2</v>
      </c>
      <c r="O108" s="2" t="str">
        <f aca="false">IF(ROUND(N108,0)&lt;=1,"Deficiente",IF(ROUND(N108,0)=2,"Bajo",IF(ROUND(N108,0)=3,"Satisfactorio",IF(ROUND(N108,0)=4,"Bueno","Excelente"))))</f>
        <v>Bajo</v>
      </c>
      <c r="P108" s="8" t="n">
        <f aca="false">MAX(0,MIN(0.2,(N108-3)/2*0.2))</f>
        <v>0</v>
      </c>
      <c r="Q108" s="9" t="n">
        <f aca="false">G108*12*P108</f>
        <v>0</v>
      </c>
      <c r="R108" s="10" t="s">
        <v>97</v>
      </c>
      <c r="S108" s="2" t="s">
        <v>51</v>
      </c>
    </row>
    <row r="109" customFormat="false" ht="26.85" hidden="false" customHeight="false" outlineLevel="0" collapsed="false">
      <c r="A109" s="2" t="s">
        <v>267</v>
      </c>
      <c r="B109" s="3" t="s">
        <v>268</v>
      </c>
      <c r="C109" s="3" t="s">
        <v>262</v>
      </c>
      <c r="D109" s="3" t="s">
        <v>252</v>
      </c>
      <c r="E109" s="3" t="s">
        <v>254</v>
      </c>
      <c r="F109" s="4" t="n">
        <v>45690</v>
      </c>
      <c r="G109" s="5" t="n">
        <v>1410000</v>
      </c>
      <c r="H109" s="6" t="n">
        <v>4</v>
      </c>
      <c r="I109" s="6" t="n">
        <v>3</v>
      </c>
      <c r="J109" s="6" t="n">
        <v>3</v>
      </c>
      <c r="K109" s="6" t="n">
        <v>3</v>
      </c>
      <c r="L109" s="6" t="n">
        <v>3</v>
      </c>
      <c r="M109" s="6" t="n">
        <v>3</v>
      </c>
      <c r="N109" s="7" t="n">
        <f aca="false">AVERAGE(H109:M109)</f>
        <v>3.16666666666667</v>
      </c>
      <c r="O109" s="2" t="str">
        <f aca="false">IF(ROUND(N109,0)&lt;=1,"Deficiente",IF(ROUND(N109,0)=2,"Bajo",IF(ROUND(N109,0)=3,"Satisfactorio",IF(ROUND(N109,0)=4,"Bueno","Excelente"))))</f>
        <v>Satisfactorio</v>
      </c>
      <c r="P109" s="8" t="n">
        <f aca="false">MAX(0,MIN(0.2,(N109-3)/2*0.2))</f>
        <v>0.0166666666666667</v>
      </c>
      <c r="Q109" s="9" t="n">
        <f aca="false">G109*12*P109</f>
        <v>282000</v>
      </c>
      <c r="R109" s="10" t="s">
        <v>112</v>
      </c>
      <c r="S109" s="2" t="s">
        <v>51</v>
      </c>
    </row>
    <row r="110" customFormat="false" ht="26.85" hidden="false" customHeight="false" outlineLevel="0" collapsed="false">
      <c r="A110" s="2" t="s">
        <v>269</v>
      </c>
      <c r="B110" s="3" t="s">
        <v>270</v>
      </c>
      <c r="C110" s="3" t="s">
        <v>262</v>
      </c>
      <c r="D110" s="3" t="s">
        <v>252</v>
      </c>
      <c r="E110" s="3" t="s">
        <v>257</v>
      </c>
      <c r="F110" s="4" t="n">
        <v>45677</v>
      </c>
      <c r="G110" s="5" t="n">
        <v>2200000</v>
      </c>
      <c r="H110" s="6" t="n">
        <v>5</v>
      </c>
      <c r="I110" s="6" t="n">
        <v>4</v>
      </c>
      <c r="J110" s="6" t="n">
        <v>4</v>
      </c>
      <c r="K110" s="6" t="n">
        <v>4</v>
      </c>
      <c r="L110" s="6" t="n">
        <v>5</v>
      </c>
      <c r="M110" s="6" t="n">
        <v>4</v>
      </c>
      <c r="N110" s="7" t="n">
        <f aca="false">AVERAGE(H110:M110)</f>
        <v>4.33333333333333</v>
      </c>
      <c r="O110" s="2" t="str">
        <f aca="false">IF(ROUND(N110,0)&lt;=1,"Deficiente",IF(ROUND(N110,0)=2,"Bajo",IF(ROUND(N110,0)=3,"Satisfactorio",IF(ROUND(N110,0)=4,"Bueno","Excelente"))))</f>
        <v>Bueno</v>
      </c>
      <c r="P110" s="8" t="n">
        <f aca="false">MAX(0,MIN(0.2,(N110-3)/2*0.2))</f>
        <v>0.133333333333333</v>
      </c>
      <c r="Q110" s="9" t="n">
        <f aca="false">G110*12*P110</f>
        <v>3520000</v>
      </c>
      <c r="R110" s="10" t="s">
        <v>30</v>
      </c>
      <c r="S110" s="2" t="s">
        <v>31</v>
      </c>
    </row>
    <row r="111" customFormat="false" ht="26.85" hidden="false" customHeight="false" outlineLevel="0" collapsed="false">
      <c r="A111" s="2" t="s">
        <v>271</v>
      </c>
      <c r="B111" s="3" t="s">
        <v>272</v>
      </c>
      <c r="C111" s="3" t="s">
        <v>262</v>
      </c>
      <c r="D111" s="3" t="s">
        <v>252</v>
      </c>
      <c r="E111" s="3" t="s">
        <v>259</v>
      </c>
      <c r="F111" s="4" t="n">
        <v>45754</v>
      </c>
      <c r="G111" s="5" t="n">
        <v>1660000</v>
      </c>
      <c r="H111" s="6" t="n">
        <v>4</v>
      </c>
      <c r="I111" s="6" t="n">
        <v>4</v>
      </c>
      <c r="J111" s="6" t="n">
        <v>4</v>
      </c>
      <c r="K111" s="6" t="n">
        <v>4</v>
      </c>
      <c r="L111" s="6" t="n">
        <v>4</v>
      </c>
      <c r="M111" s="6" t="n">
        <v>4</v>
      </c>
      <c r="N111" s="7" t="n">
        <f aca="false">AVERAGE(H111:M111)</f>
        <v>4</v>
      </c>
      <c r="O111" s="2" t="str">
        <f aca="false">IF(ROUND(N111,0)&lt;=1,"Deficiente",IF(ROUND(N111,0)=2,"Bajo",IF(ROUND(N111,0)=3,"Satisfactorio",IF(ROUND(N111,0)=4,"Bueno","Excelente"))))</f>
        <v>Bueno</v>
      </c>
      <c r="P111" s="8" t="n">
        <f aca="false">MAX(0,MIN(0.2,(N111-3)/2*0.2))</f>
        <v>0.1</v>
      </c>
      <c r="Q111" s="9" t="n">
        <f aca="false">G111*12*P111</f>
        <v>1992000</v>
      </c>
      <c r="R111" s="10" t="s">
        <v>60</v>
      </c>
      <c r="S111" s="2" t="s">
        <v>31</v>
      </c>
    </row>
    <row r="112" customFormat="false" ht="39.55" hidden="false" customHeight="false" outlineLevel="0" collapsed="false">
      <c r="A112" s="2" t="s">
        <v>273</v>
      </c>
      <c r="B112" s="3" t="s">
        <v>274</v>
      </c>
      <c r="C112" s="3" t="s">
        <v>262</v>
      </c>
      <c r="D112" s="3" t="s">
        <v>252</v>
      </c>
      <c r="E112" s="3" t="s">
        <v>254</v>
      </c>
      <c r="F112" s="4" t="n">
        <v>45842</v>
      </c>
      <c r="G112" s="5" t="n">
        <v>1720000</v>
      </c>
      <c r="H112" s="6" t="n">
        <v>2</v>
      </c>
      <c r="I112" s="6" t="n">
        <v>3</v>
      </c>
      <c r="J112" s="6" t="n">
        <v>2</v>
      </c>
      <c r="K112" s="6" t="n">
        <v>3</v>
      </c>
      <c r="L112" s="6" t="n">
        <v>2</v>
      </c>
      <c r="M112" s="6" t="n">
        <v>2</v>
      </c>
      <c r="N112" s="7" t="n">
        <f aca="false">AVERAGE(H112:M112)</f>
        <v>2.33333333333333</v>
      </c>
      <c r="O112" s="2" t="str">
        <f aca="false">IF(ROUND(N112,0)&lt;=1,"Deficiente",IF(ROUND(N112,0)=2,"Bajo",IF(ROUND(N112,0)=3,"Satisfactorio",IF(ROUND(N112,0)=4,"Bueno","Excelente"))))</f>
        <v>Bajo</v>
      </c>
      <c r="P112" s="8" t="n">
        <f aca="false">MAX(0,MIN(0.2,(N112-3)/2*0.2))</f>
        <v>0</v>
      </c>
      <c r="Q112" s="9" t="n">
        <f aca="false">G112*12*P112</f>
        <v>0</v>
      </c>
      <c r="R112" s="10" t="s">
        <v>72</v>
      </c>
      <c r="S112" s="2" t="s">
        <v>51</v>
      </c>
    </row>
    <row r="113" customFormat="false" ht="26.85" hidden="false" customHeight="false" outlineLevel="0" collapsed="false">
      <c r="A113" s="2" t="s">
        <v>275</v>
      </c>
      <c r="B113" s="3" t="s">
        <v>276</v>
      </c>
      <c r="C113" s="3" t="s">
        <v>262</v>
      </c>
      <c r="D113" s="3" t="s">
        <v>252</v>
      </c>
      <c r="E113" s="3" t="s">
        <v>257</v>
      </c>
      <c r="F113" s="4" t="n">
        <v>45873</v>
      </c>
      <c r="G113" s="5" t="n">
        <v>2040000</v>
      </c>
      <c r="H113" s="6" t="n">
        <v>4</v>
      </c>
      <c r="I113" s="6" t="n">
        <v>4</v>
      </c>
      <c r="J113" s="6" t="n">
        <v>4</v>
      </c>
      <c r="K113" s="6" t="n">
        <v>4</v>
      </c>
      <c r="L113" s="6" t="n">
        <v>4</v>
      </c>
      <c r="M113" s="6" t="n">
        <v>4</v>
      </c>
      <c r="N113" s="7" t="n">
        <f aca="false">AVERAGE(H113:M113)</f>
        <v>4</v>
      </c>
      <c r="O113" s="2" t="str">
        <f aca="false">IF(ROUND(N113,0)&lt;=1,"Deficiente",IF(ROUND(N113,0)=2,"Bajo",IF(ROUND(N113,0)=3,"Satisfactorio",IF(ROUND(N113,0)=4,"Bueno","Excelente"))))</f>
        <v>Bueno</v>
      </c>
      <c r="P113" s="8" t="n">
        <f aca="false">MAX(0,MIN(0.2,(N113-3)/2*0.2))</f>
        <v>0.1</v>
      </c>
      <c r="Q113" s="9" t="n">
        <f aca="false">G113*12*P113</f>
        <v>2448000</v>
      </c>
      <c r="R113" s="10" t="s">
        <v>60</v>
      </c>
      <c r="S113" s="2" t="s">
        <v>31</v>
      </c>
    </row>
    <row r="114" customFormat="false" ht="26.85" hidden="false" customHeight="false" outlineLevel="0" collapsed="false">
      <c r="A114" s="2" t="s">
        <v>277</v>
      </c>
      <c r="B114" s="3" t="s">
        <v>278</v>
      </c>
      <c r="C114" s="3" t="s">
        <v>262</v>
      </c>
      <c r="D114" s="3" t="s">
        <v>252</v>
      </c>
      <c r="E114" s="3" t="s">
        <v>259</v>
      </c>
      <c r="F114" s="4" t="n">
        <v>45806</v>
      </c>
      <c r="G114" s="5" t="n">
        <v>1970000</v>
      </c>
      <c r="H114" s="6" t="n">
        <v>4</v>
      </c>
      <c r="I114" s="6" t="n">
        <v>4</v>
      </c>
      <c r="J114" s="6" t="n">
        <v>4</v>
      </c>
      <c r="K114" s="6" t="n">
        <v>5</v>
      </c>
      <c r="L114" s="6" t="n">
        <v>4</v>
      </c>
      <c r="M114" s="6" t="n">
        <v>4</v>
      </c>
      <c r="N114" s="7" t="n">
        <f aca="false">AVERAGE(H114:M114)</f>
        <v>4.16666666666667</v>
      </c>
      <c r="O114" s="2" t="str">
        <f aca="false">IF(ROUND(N114,0)&lt;=1,"Deficiente",IF(ROUND(N114,0)=2,"Bajo",IF(ROUND(N114,0)=3,"Satisfactorio",IF(ROUND(N114,0)=4,"Bueno","Excelente"))))</f>
        <v>Bueno</v>
      </c>
      <c r="P114" s="8" t="n">
        <f aca="false">MAX(0,MIN(0.2,(N114-3)/2*0.2))</f>
        <v>0.116666666666667</v>
      </c>
      <c r="Q114" s="9" t="n">
        <f aca="false">G114*12*P114</f>
        <v>2758000</v>
      </c>
      <c r="R114" s="10" t="s">
        <v>60</v>
      </c>
      <c r="S114" s="2" t="s">
        <v>31</v>
      </c>
    </row>
    <row r="115" customFormat="false" ht="26.85" hidden="false" customHeight="false" outlineLevel="0" collapsed="false">
      <c r="A115" s="2" t="s">
        <v>279</v>
      </c>
      <c r="B115" s="3" t="s">
        <v>280</v>
      </c>
      <c r="C115" s="3" t="s">
        <v>262</v>
      </c>
      <c r="D115" s="3" t="s">
        <v>252</v>
      </c>
      <c r="E115" s="3" t="s">
        <v>254</v>
      </c>
      <c r="F115" s="4" t="n">
        <v>45755</v>
      </c>
      <c r="G115" s="5" t="n">
        <v>1570000</v>
      </c>
      <c r="H115" s="6" t="n">
        <v>4</v>
      </c>
      <c r="I115" s="6" t="n">
        <v>3</v>
      </c>
      <c r="J115" s="6" t="n">
        <v>4</v>
      </c>
      <c r="K115" s="6" t="n">
        <v>4</v>
      </c>
      <c r="L115" s="6" t="n">
        <v>5</v>
      </c>
      <c r="M115" s="6" t="n">
        <v>4</v>
      </c>
      <c r="N115" s="7" t="n">
        <f aca="false">AVERAGE(H115:M115)</f>
        <v>4</v>
      </c>
      <c r="O115" s="2" t="str">
        <f aca="false">IF(ROUND(N115,0)&lt;=1,"Deficiente",IF(ROUND(N115,0)=2,"Bajo",IF(ROUND(N115,0)=3,"Satisfactorio",IF(ROUND(N115,0)=4,"Bueno","Excelente"))))</f>
        <v>Bueno</v>
      </c>
      <c r="P115" s="8" t="n">
        <f aca="false">MAX(0,MIN(0.2,(N115-3)/2*0.2))</f>
        <v>0.1</v>
      </c>
      <c r="Q115" s="9" t="n">
        <f aca="false">G115*12*P115</f>
        <v>1884000</v>
      </c>
      <c r="R115" s="10" t="s">
        <v>60</v>
      </c>
      <c r="S115" s="2" t="s">
        <v>31</v>
      </c>
    </row>
    <row r="116" customFormat="false" ht="26.85" hidden="false" customHeight="false" outlineLevel="0" collapsed="false">
      <c r="A116" s="2" t="s">
        <v>281</v>
      </c>
      <c r="B116" s="3" t="s">
        <v>282</v>
      </c>
      <c r="C116" s="3" t="s">
        <v>262</v>
      </c>
      <c r="D116" s="3" t="s">
        <v>252</v>
      </c>
      <c r="E116" s="3" t="s">
        <v>257</v>
      </c>
      <c r="F116" s="4" t="n">
        <v>45755</v>
      </c>
      <c r="G116" s="5" t="n">
        <v>2040000</v>
      </c>
      <c r="H116" s="6" t="n">
        <v>4</v>
      </c>
      <c r="I116" s="6" t="n">
        <v>5</v>
      </c>
      <c r="J116" s="6" t="n">
        <v>5</v>
      </c>
      <c r="K116" s="6" t="n">
        <v>5</v>
      </c>
      <c r="L116" s="6" t="n">
        <v>5</v>
      </c>
      <c r="M116" s="6" t="n">
        <v>5</v>
      </c>
      <c r="N116" s="7" t="n">
        <f aca="false">AVERAGE(H116:M116)</f>
        <v>4.83333333333333</v>
      </c>
      <c r="O116" s="2" t="str">
        <f aca="false">IF(ROUND(N116,0)&lt;=1,"Deficiente",IF(ROUND(N116,0)=2,"Bajo",IF(ROUND(N116,0)=3,"Satisfactorio",IF(ROUND(N116,0)=4,"Bueno","Excelente"))))</f>
        <v>Excelente</v>
      </c>
      <c r="P116" s="8" t="n">
        <f aca="false">MAX(0,MIN(0.2,(N116-3)/2*0.2))</f>
        <v>0.183333333333333</v>
      </c>
      <c r="Q116" s="9" t="n">
        <f aca="false">G116*12*P116</f>
        <v>4488000</v>
      </c>
      <c r="R116" s="10" t="s">
        <v>117</v>
      </c>
      <c r="S116" s="2" t="s">
        <v>31</v>
      </c>
    </row>
    <row r="117" customFormat="false" ht="39.55" hidden="false" customHeight="false" outlineLevel="0" collapsed="false">
      <c r="A117" s="2" t="s">
        <v>283</v>
      </c>
      <c r="B117" s="3" t="s">
        <v>284</v>
      </c>
      <c r="C117" s="3" t="s">
        <v>262</v>
      </c>
      <c r="D117" s="3" t="s">
        <v>252</v>
      </c>
      <c r="E117" s="3" t="s">
        <v>259</v>
      </c>
      <c r="F117" s="4" t="n">
        <v>45659</v>
      </c>
      <c r="G117" s="5" t="n">
        <v>2320000</v>
      </c>
      <c r="H117" s="6" t="n">
        <v>5</v>
      </c>
      <c r="I117" s="6" t="n">
        <v>5</v>
      </c>
      <c r="J117" s="6" t="n">
        <v>5</v>
      </c>
      <c r="K117" s="6" t="n">
        <v>5</v>
      </c>
      <c r="L117" s="6" t="n">
        <v>5</v>
      </c>
      <c r="M117" s="6" t="n">
        <v>5</v>
      </c>
      <c r="N117" s="7" t="n">
        <f aca="false">AVERAGE(H117:M117)</f>
        <v>5</v>
      </c>
      <c r="O117" s="2" t="str">
        <f aca="false">IF(ROUND(N117,0)&lt;=1,"Deficiente",IF(ROUND(N117,0)=2,"Bajo",IF(ROUND(N117,0)=3,"Satisfactorio",IF(ROUND(N117,0)=4,"Bueno","Excelente"))))</f>
        <v>Excelente</v>
      </c>
      <c r="P117" s="8" t="n">
        <f aca="false">MAX(0,MIN(0.2,(N117-3)/2*0.2))</f>
        <v>0.2</v>
      </c>
      <c r="Q117" s="9" t="n">
        <f aca="false">G117*12*P117</f>
        <v>5568000</v>
      </c>
      <c r="R117" s="10" t="s">
        <v>67</v>
      </c>
      <c r="S117" s="2" t="s">
        <v>31</v>
      </c>
    </row>
    <row r="118" customFormat="false" ht="26.85" hidden="false" customHeight="false" outlineLevel="0" collapsed="false">
      <c r="A118" s="2" t="s">
        <v>285</v>
      </c>
      <c r="B118" s="3" t="s">
        <v>286</v>
      </c>
      <c r="C118" s="3" t="s">
        <v>262</v>
      </c>
      <c r="D118" s="3" t="s">
        <v>252</v>
      </c>
      <c r="E118" s="3" t="s">
        <v>254</v>
      </c>
      <c r="F118" s="4" t="n">
        <v>45764</v>
      </c>
      <c r="G118" s="5" t="n">
        <v>2130000</v>
      </c>
      <c r="H118" s="6" t="n">
        <v>3</v>
      </c>
      <c r="I118" s="6" t="n">
        <v>4</v>
      </c>
      <c r="J118" s="6" t="n">
        <v>4</v>
      </c>
      <c r="K118" s="6" t="n">
        <v>4</v>
      </c>
      <c r="L118" s="6" t="n">
        <v>4</v>
      </c>
      <c r="M118" s="6" t="n">
        <v>4</v>
      </c>
      <c r="N118" s="7" t="n">
        <f aca="false">AVERAGE(H118:M118)</f>
        <v>3.83333333333333</v>
      </c>
      <c r="O118" s="2" t="str">
        <f aca="false">IF(ROUND(N118,0)&lt;=1,"Deficiente",IF(ROUND(N118,0)=2,"Bajo",IF(ROUND(N118,0)=3,"Satisfactorio",IF(ROUND(N118,0)=4,"Bueno","Excelente"))))</f>
        <v>Bueno</v>
      </c>
      <c r="P118" s="8" t="n">
        <f aca="false">MAX(0,MIN(0.2,(N118-3)/2*0.2))</f>
        <v>0.0833333333333334</v>
      </c>
      <c r="Q118" s="9" t="n">
        <f aca="false">G118*12*P118</f>
        <v>2130000</v>
      </c>
      <c r="R118" s="10" t="s">
        <v>60</v>
      </c>
      <c r="S118" s="2" t="s">
        <v>31</v>
      </c>
    </row>
    <row r="119" customFormat="false" ht="26.85" hidden="false" customHeight="false" outlineLevel="0" collapsed="false">
      <c r="A119" s="2" t="s">
        <v>287</v>
      </c>
      <c r="B119" s="3" t="s">
        <v>288</v>
      </c>
      <c r="C119" s="3" t="s">
        <v>262</v>
      </c>
      <c r="D119" s="3" t="s">
        <v>252</v>
      </c>
      <c r="E119" s="3" t="s">
        <v>257</v>
      </c>
      <c r="F119" s="4" t="n">
        <v>45706</v>
      </c>
      <c r="G119" s="5" t="n">
        <v>1530000</v>
      </c>
      <c r="H119" s="6" t="n">
        <v>4</v>
      </c>
      <c r="I119" s="6" t="n">
        <v>4</v>
      </c>
      <c r="J119" s="6" t="n">
        <v>4</v>
      </c>
      <c r="K119" s="6" t="n">
        <v>4</v>
      </c>
      <c r="L119" s="6" t="n">
        <v>4</v>
      </c>
      <c r="M119" s="6" t="n">
        <v>4</v>
      </c>
      <c r="N119" s="7" t="n">
        <f aca="false">AVERAGE(H119:M119)</f>
        <v>4</v>
      </c>
      <c r="O119" s="2" t="str">
        <f aca="false">IF(ROUND(N119,0)&lt;=1,"Deficiente",IF(ROUND(N119,0)=2,"Bajo",IF(ROUND(N119,0)=3,"Satisfactorio",IF(ROUND(N119,0)=4,"Bueno","Excelente"))))</f>
        <v>Bueno</v>
      </c>
      <c r="P119" s="8" t="n">
        <f aca="false">MAX(0,MIN(0.2,(N119-3)/2*0.2))</f>
        <v>0.1</v>
      </c>
      <c r="Q119" s="9" t="n">
        <f aca="false">G119*12*P119</f>
        <v>1836000</v>
      </c>
      <c r="R119" s="10" t="s">
        <v>35</v>
      </c>
      <c r="S119" s="2" t="s">
        <v>31</v>
      </c>
    </row>
    <row r="120" customFormat="false" ht="26.85" hidden="false" customHeight="false" outlineLevel="0" collapsed="false">
      <c r="A120" s="2" t="s">
        <v>289</v>
      </c>
      <c r="B120" s="3" t="s">
        <v>290</v>
      </c>
      <c r="C120" s="3" t="s">
        <v>262</v>
      </c>
      <c r="D120" s="3" t="s">
        <v>252</v>
      </c>
      <c r="E120" s="3" t="s">
        <v>259</v>
      </c>
      <c r="F120" s="4" t="n">
        <v>45885</v>
      </c>
      <c r="G120" s="5" t="n">
        <v>1750000</v>
      </c>
      <c r="H120" s="6" t="n">
        <v>4</v>
      </c>
      <c r="I120" s="6" t="n">
        <v>4</v>
      </c>
      <c r="J120" s="6" t="n">
        <v>5</v>
      </c>
      <c r="K120" s="6" t="n">
        <v>4</v>
      </c>
      <c r="L120" s="6" t="n">
        <v>5</v>
      </c>
      <c r="M120" s="6" t="n">
        <v>5</v>
      </c>
      <c r="N120" s="7" t="n">
        <f aca="false">AVERAGE(H120:M120)</f>
        <v>4.5</v>
      </c>
      <c r="O120" s="2" t="str">
        <f aca="false">IF(ROUND(N120,0)&lt;=1,"Deficiente",IF(ROUND(N120,0)=2,"Bajo",IF(ROUND(N120,0)=3,"Satisfactorio",IF(ROUND(N120,0)=4,"Bueno","Excelente"))))</f>
        <v>Excelente</v>
      </c>
      <c r="P120" s="8" t="n">
        <f aca="false">MAX(0,MIN(0.2,(N120-3)/2*0.2))</f>
        <v>0.15</v>
      </c>
      <c r="Q120" s="9" t="n">
        <f aca="false">G120*12*P120</f>
        <v>3150000</v>
      </c>
      <c r="R120" s="10" t="s">
        <v>117</v>
      </c>
      <c r="S120" s="2" t="s">
        <v>31</v>
      </c>
    </row>
    <row r="121" customFormat="false" ht="26.85" hidden="false" customHeight="false" outlineLevel="0" collapsed="false">
      <c r="A121" s="2" t="s">
        <v>291</v>
      </c>
      <c r="B121" s="3" t="s">
        <v>292</v>
      </c>
      <c r="C121" s="3" t="s">
        <v>262</v>
      </c>
      <c r="D121" s="3" t="s">
        <v>252</v>
      </c>
      <c r="E121" s="3" t="s">
        <v>254</v>
      </c>
      <c r="F121" s="4" t="n">
        <v>45668</v>
      </c>
      <c r="G121" s="5" t="n">
        <v>2050000</v>
      </c>
      <c r="H121" s="6" t="n">
        <v>4</v>
      </c>
      <c r="I121" s="6" t="n">
        <v>4</v>
      </c>
      <c r="J121" s="6" t="n">
        <v>4</v>
      </c>
      <c r="K121" s="6" t="n">
        <v>4</v>
      </c>
      <c r="L121" s="6" t="n">
        <v>4</v>
      </c>
      <c r="M121" s="6" t="n">
        <v>4</v>
      </c>
      <c r="N121" s="7" t="n">
        <f aca="false">AVERAGE(H121:M121)</f>
        <v>4</v>
      </c>
      <c r="O121" s="2" t="str">
        <f aca="false">IF(ROUND(N121,0)&lt;=1,"Deficiente",IF(ROUND(N121,0)=2,"Bajo",IF(ROUND(N121,0)=3,"Satisfactorio",IF(ROUND(N121,0)=4,"Bueno","Excelente"))))</f>
        <v>Bueno</v>
      </c>
      <c r="P121" s="8" t="n">
        <f aca="false">MAX(0,MIN(0.2,(N121-3)/2*0.2))</f>
        <v>0.1</v>
      </c>
      <c r="Q121" s="9" t="n">
        <f aca="false">G121*12*P121</f>
        <v>2460000</v>
      </c>
      <c r="R121" s="10" t="s">
        <v>60</v>
      </c>
      <c r="S121" s="2" t="s">
        <v>31</v>
      </c>
    </row>
    <row r="122" customFormat="false" ht="26.85" hidden="false" customHeight="false" outlineLevel="0" collapsed="false">
      <c r="A122" s="2" t="s">
        <v>293</v>
      </c>
      <c r="B122" s="3" t="s">
        <v>294</v>
      </c>
      <c r="C122" s="3" t="s">
        <v>262</v>
      </c>
      <c r="D122" s="3" t="s">
        <v>252</v>
      </c>
      <c r="E122" s="3" t="s">
        <v>257</v>
      </c>
      <c r="F122" s="4" t="n">
        <v>45758</v>
      </c>
      <c r="G122" s="5" t="n">
        <v>2090000</v>
      </c>
      <c r="H122" s="6" t="n">
        <v>4</v>
      </c>
      <c r="I122" s="6" t="n">
        <v>4</v>
      </c>
      <c r="J122" s="6" t="n">
        <v>4</v>
      </c>
      <c r="K122" s="6" t="n">
        <v>4</v>
      </c>
      <c r="L122" s="6" t="n">
        <v>4</v>
      </c>
      <c r="M122" s="6" t="n">
        <v>4</v>
      </c>
      <c r="N122" s="7" t="n">
        <f aca="false">AVERAGE(H122:M122)</f>
        <v>4</v>
      </c>
      <c r="O122" s="2" t="str">
        <f aca="false">IF(ROUND(N122,0)&lt;=1,"Deficiente",IF(ROUND(N122,0)=2,"Bajo",IF(ROUND(N122,0)=3,"Satisfactorio",IF(ROUND(N122,0)=4,"Bueno","Excelente"))))</f>
        <v>Bueno</v>
      </c>
      <c r="P122" s="8" t="n">
        <f aca="false">MAX(0,MIN(0.2,(N122-3)/2*0.2))</f>
        <v>0.1</v>
      </c>
      <c r="Q122" s="9" t="n">
        <f aca="false">G122*12*P122</f>
        <v>2508000</v>
      </c>
      <c r="R122" s="10" t="s">
        <v>35</v>
      </c>
      <c r="S122" s="2" t="s">
        <v>31</v>
      </c>
    </row>
    <row r="123" customFormat="false" ht="26.85" hidden="false" customHeight="false" outlineLevel="0" collapsed="false">
      <c r="A123" s="2" t="s">
        <v>295</v>
      </c>
      <c r="B123" s="3" t="s">
        <v>296</v>
      </c>
      <c r="C123" s="3" t="s">
        <v>262</v>
      </c>
      <c r="D123" s="3" t="s">
        <v>252</v>
      </c>
      <c r="E123" s="3" t="s">
        <v>259</v>
      </c>
      <c r="F123" s="4" t="n">
        <v>45862</v>
      </c>
      <c r="G123" s="5" t="n">
        <v>1460000</v>
      </c>
      <c r="H123" s="6" t="n">
        <v>4</v>
      </c>
      <c r="I123" s="6" t="n">
        <v>4</v>
      </c>
      <c r="J123" s="6" t="n">
        <v>4</v>
      </c>
      <c r="K123" s="6" t="n">
        <v>4</v>
      </c>
      <c r="L123" s="6" t="n">
        <v>4</v>
      </c>
      <c r="M123" s="6" t="n">
        <v>4</v>
      </c>
      <c r="N123" s="7" t="n">
        <f aca="false">AVERAGE(H123:M123)</f>
        <v>4</v>
      </c>
      <c r="O123" s="2" t="str">
        <f aca="false">IF(ROUND(N123,0)&lt;=1,"Deficiente",IF(ROUND(N123,0)=2,"Bajo",IF(ROUND(N123,0)=3,"Satisfactorio",IF(ROUND(N123,0)=4,"Bueno","Excelente"))))</f>
        <v>Bueno</v>
      </c>
      <c r="P123" s="8" t="n">
        <f aca="false">MAX(0,MIN(0.2,(N123-3)/2*0.2))</f>
        <v>0.1</v>
      </c>
      <c r="Q123" s="9" t="n">
        <f aca="false">G123*12*P123</f>
        <v>1752000</v>
      </c>
      <c r="R123" s="10" t="s">
        <v>60</v>
      </c>
      <c r="S123" s="2" t="s">
        <v>31</v>
      </c>
    </row>
    <row r="124" customFormat="false" ht="26.85" hidden="false" customHeight="false" outlineLevel="0" collapsed="false">
      <c r="A124" s="2" t="s">
        <v>297</v>
      </c>
      <c r="B124" s="3" t="s">
        <v>298</v>
      </c>
      <c r="C124" s="3" t="s">
        <v>262</v>
      </c>
      <c r="D124" s="3" t="s">
        <v>252</v>
      </c>
      <c r="E124" s="3" t="s">
        <v>254</v>
      </c>
      <c r="F124" s="4" t="n">
        <v>45724</v>
      </c>
      <c r="G124" s="5" t="n">
        <v>1890000</v>
      </c>
      <c r="H124" s="6" t="n">
        <v>5</v>
      </c>
      <c r="I124" s="6" t="n">
        <v>4</v>
      </c>
      <c r="J124" s="6" t="n">
        <v>5</v>
      </c>
      <c r="K124" s="6" t="n">
        <v>5</v>
      </c>
      <c r="L124" s="6" t="n">
        <v>5</v>
      </c>
      <c r="M124" s="6" t="n">
        <v>4</v>
      </c>
      <c r="N124" s="7" t="n">
        <f aca="false">AVERAGE(H124:M124)</f>
        <v>4.66666666666667</v>
      </c>
      <c r="O124" s="2" t="str">
        <f aca="false">IF(ROUND(N124,0)&lt;=1,"Deficiente",IF(ROUND(N124,0)=2,"Bajo",IF(ROUND(N124,0)=3,"Satisfactorio",IF(ROUND(N124,0)=4,"Bueno","Excelente"))))</f>
        <v>Excelente</v>
      </c>
      <c r="P124" s="8" t="n">
        <f aca="false">MAX(0,MIN(0.2,(N124-3)/2*0.2))</f>
        <v>0.166666666666667</v>
      </c>
      <c r="Q124" s="9" t="n">
        <f aca="false">G124*12*P124</f>
        <v>3780000</v>
      </c>
      <c r="R124" s="10" t="s">
        <v>117</v>
      </c>
      <c r="S124" s="2" t="s">
        <v>25</v>
      </c>
    </row>
    <row r="125" customFormat="false" ht="39.55" hidden="false" customHeight="false" outlineLevel="0" collapsed="false">
      <c r="A125" s="2" t="s">
        <v>299</v>
      </c>
      <c r="B125" s="3" t="s">
        <v>300</v>
      </c>
      <c r="C125" s="3" t="s">
        <v>262</v>
      </c>
      <c r="D125" s="3" t="s">
        <v>252</v>
      </c>
      <c r="E125" s="3" t="s">
        <v>257</v>
      </c>
      <c r="F125" s="4" t="n">
        <v>45755</v>
      </c>
      <c r="G125" s="5" t="n">
        <v>1670000</v>
      </c>
      <c r="H125" s="6" t="n">
        <v>2</v>
      </c>
      <c r="I125" s="6" t="n">
        <v>3</v>
      </c>
      <c r="J125" s="6" t="n">
        <v>3</v>
      </c>
      <c r="K125" s="6" t="n">
        <v>4</v>
      </c>
      <c r="L125" s="6" t="n">
        <v>4</v>
      </c>
      <c r="M125" s="6" t="n">
        <v>3</v>
      </c>
      <c r="N125" s="7" t="n">
        <f aca="false">AVERAGE(H125:M125)</f>
        <v>3.16666666666667</v>
      </c>
      <c r="O125" s="2" t="str">
        <f aca="false">IF(ROUND(N125,0)&lt;=1,"Deficiente",IF(ROUND(N125,0)=2,"Bajo",IF(ROUND(N125,0)=3,"Satisfactorio",IF(ROUND(N125,0)=4,"Bueno","Excelente"))))</f>
        <v>Satisfactorio</v>
      </c>
      <c r="P125" s="8" t="n">
        <f aca="false">MAX(0,MIN(0.2,(N125-3)/2*0.2))</f>
        <v>0.0166666666666667</v>
      </c>
      <c r="Q125" s="9" t="n">
        <f aca="false">G125*12*P125</f>
        <v>334000</v>
      </c>
      <c r="R125" s="10" t="s">
        <v>45</v>
      </c>
      <c r="S125" s="2" t="s">
        <v>31</v>
      </c>
    </row>
    <row r="126" customFormat="false" ht="26.85" hidden="false" customHeight="false" outlineLevel="0" collapsed="false">
      <c r="A126" s="2" t="s">
        <v>301</v>
      </c>
      <c r="B126" s="3" t="s">
        <v>302</v>
      </c>
      <c r="C126" s="3" t="s">
        <v>262</v>
      </c>
      <c r="D126" s="3" t="s">
        <v>252</v>
      </c>
      <c r="E126" s="3" t="s">
        <v>259</v>
      </c>
      <c r="F126" s="4" t="n">
        <v>45850</v>
      </c>
      <c r="G126" s="5" t="n">
        <v>2270000</v>
      </c>
      <c r="H126" s="6" t="n">
        <v>4</v>
      </c>
      <c r="I126" s="6" t="n">
        <v>4</v>
      </c>
      <c r="J126" s="6" t="n">
        <v>4</v>
      </c>
      <c r="K126" s="6" t="n">
        <v>4</v>
      </c>
      <c r="L126" s="6" t="n">
        <v>3</v>
      </c>
      <c r="M126" s="6" t="n">
        <v>4</v>
      </c>
      <c r="N126" s="7" t="n">
        <f aca="false">AVERAGE(H126:M126)</f>
        <v>3.83333333333333</v>
      </c>
      <c r="O126" s="2" t="str">
        <f aca="false">IF(ROUND(N126,0)&lt;=1,"Deficiente",IF(ROUND(N126,0)=2,"Bajo",IF(ROUND(N126,0)=3,"Satisfactorio",IF(ROUND(N126,0)=4,"Bueno","Excelente"))))</f>
        <v>Bueno</v>
      </c>
      <c r="P126" s="8" t="n">
        <f aca="false">MAX(0,MIN(0.2,(N126-3)/2*0.2))</f>
        <v>0.0833333333333334</v>
      </c>
      <c r="Q126" s="9" t="n">
        <f aca="false">G126*12*P126</f>
        <v>2270000</v>
      </c>
      <c r="R126" s="10" t="s">
        <v>24</v>
      </c>
      <c r="S126" s="2" t="s">
        <v>31</v>
      </c>
    </row>
    <row r="127" customFormat="false" ht="26.85" hidden="false" customHeight="false" outlineLevel="0" collapsed="false">
      <c r="A127" s="2" t="s">
        <v>303</v>
      </c>
      <c r="B127" s="3" t="s">
        <v>304</v>
      </c>
      <c r="C127" s="3" t="s">
        <v>262</v>
      </c>
      <c r="D127" s="3" t="s">
        <v>252</v>
      </c>
      <c r="E127" s="3" t="s">
        <v>254</v>
      </c>
      <c r="F127" s="4" t="n">
        <v>45663</v>
      </c>
      <c r="G127" s="5" t="n">
        <v>2360000</v>
      </c>
      <c r="H127" s="6" t="n">
        <v>4</v>
      </c>
      <c r="I127" s="6" t="n">
        <v>3</v>
      </c>
      <c r="J127" s="6" t="n">
        <v>4</v>
      </c>
      <c r="K127" s="6" t="n">
        <v>4</v>
      </c>
      <c r="L127" s="6" t="n">
        <v>4</v>
      </c>
      <c r="M127" s="6" t="n">
        <v>4</v>
      </c>
      <c r="N127" s="7" t="n">
        <f aca="false">AVERAGE(H127:M127)</f>
        <v>3.83333333333333</v>
      </c>
      <c r="O127" s="2" t="str">
        <f aca="false">IF(ROUND(N127,0)&lt;=1,"Deficiente",IF(ROUND(N127,0)=2,"Bajo",IF(ROUND(N127,0)=3,"Satisfactorio",IF(ROUND(N127,0)=4,"Bueno","Excelente"))))</f>
        <v>Bueno</v>
      </c>
      <c r="P127" s="8" t="n">
        <f aca="false">MAX(0,MIN(0.2,(N127-3)/2*0.2))</f>
        <v>0.0833333333333334</v>
      </c>
      <c r="Q127" s="9" t="n">
        <f aca="false">G127*12*P127</f>
        <v>2360000</v>
      </c>
      <c r="R127" s="10" t="s">
        <v>60</v>
      </c>
      <c r="S127" s="2" t="s">
        <v>31</v>
      </c>
    </row>
    <row r="128" customFormat="false" ht="26.85" hidden="false" customHeight="false" outlineLevel="0" collapsed="false">
      <c r="A128" s="2" t="s">
        <v>305</v>
      </c>
      <c r="B128" s="3" t="s">
        <v>306</v>
      </c>
      <c r="C128" s="3" t="s">
        <v>262</v>
      </c>
      <c r="D128" s="3" t="s">
        <v>252</v>
      </c>
      <c r="E128" s="3" t="s">
        <v>257</v>
      </c>
      <c r="F128" s="4" t="n">
        <v>45899</v>
      </c>
      <c r="G128" s="5" t="n">
        <v>1870000</v>
      </c>
      <c r="H128" s="6" t="n">
        <v>5</v>
      </c>
      <c r="I128" s="6" t="n">
        <v>4</v>
      </c>
      <c r="J128" s="6" t="n">
        <v>4</v>
      </c>
      <c r="K128" s="6" t="n">
        <v>4</v>
      </c>
      <c r="L128" s="6" t="n">
        <v>5</v>
      </c>
      <c r="M128" s="6" t="n">
        <v>4</v>
      </c>
      <c r="N128" s="7" t="n">
        <f aca="false">AVERAGE(H128:M128)</f>
        <v>4.33333333333333</v>
      </c>
      <c r="O128" s="2" t="str">
        <f aca="false">IF(ROUND(N128,0)&lt;=1,"Deficiente",IF(ROUND(N128,0)=2,"Bajo",IF(ROUND(N128,0)=3,"Satisfactorio",IF(ROUND(N128,0)=4,"Bueno","Excelente"))))</f>
        <v>Bueno</v>
      </c>
      <c r="P128" s="8" t="n">
        <f aca="false">MAX(0,MIN(0.2,(N128-3)/2*0.2))</f>
        <v>0.133333333333333</v>
      </c>
      <c r="Q128" s="9" t="n">
        <f aca="false">G128*12*P128</f>
        <v>2992000</v>
      </c>
      <c r="R128" s="10" t="s">
        <v>60</v>
      </c>
      <c r="S128" s="2" t="s">
        <v>31</v>
      </c>
    </row>
    <row r="129" customFormat="false" ht="26.85" hidden="false" customHeight="false" outlineLevel="0" collapsed="false">
      <c r="A129" s="2" t="s">
        <v>307</v>
      </c>
      <c r="B129" s="3" t="s">
        <v>308</v>
      </c>
      <c r="C129" s="3" t="s">
        <v>262</v>
      </c>
      <c r="D129" s="3" t="s">
        <v>252</v>
      </c>
      <c r="E129" s="3" t="s">
        <v>259</v>
      </c>
      <c r="F129" s="4" t="n">
        <v>45737</v>
      </c>
      <c r="G129" s="5" t="n">
        <v>2470000</v>
      </c>
      <c r="H129" s="6" t="n">
        <v>5</v>
      </c>
      <c r="I129" s="6" t="n">
        <v>5</v>
      </c>
      <c r="J129" s="6" t="n">
        <v>5</v>
      </c>
      <c r="K129" s="6" t="n">
        <v>5</v>
      </c>
      <c r="L129" s="6" t="n">
        <v>5</v>
      </c>
      <c r="M129" s="6" t="n">
        <v>4</v>
      </c>
      <c r="N129" s="7" t="n">
        <f aca="false">AVERAGE(H129:M129)</f>
        <v>4.83333333333333</v>
      </c>
      <c r="O129" s="2" t="str">
        <f aca="false">IF(ROUND(N129,0)&lt;=1,"Deficiente",IF(ROUND(N129,0)=2,"Bajo",IF(ROUND(N129,0)=3,"Satisfactorio",IF(ROUND(N129,0)=4,"Bueno","Excelente"))))</f>
        <v>Excelente</v>
      </c>
      <c r="P129" s="8" t="n">
        <f aca="false">MAX(0,MIN(0.2,(N129-3)/2*0.2))</f>
        <v>0.183333333333333</v>
      </c>
      <c r="Q129" s="9" t="n">
        <f aca="false">G129*12*P129</f>
        <v>5434000</v>
      </c>
      <c r="R129" s="10" t="s">
        <v>117</v>
      </c>
      <c r="S129" s="2" t="s">
        <v>31</v>
      </c>
    </row>
    <row r="130" customFormat="false" ht="26.85" hidden="false" customHeight="false" outlineLevel="0" collapsed="false">
      <c r="A130" s="2" t="s">
        <v>309</v>
      </c>
      <c r="B130" s="3" t="s">
        <v>310</v>
      </c>
      <c r="C130" s="3" t="s">
        <v>262</v>
      </c>
      <c r="D130" s="3" t="s">
        <v>252</v>
      </c>
      <c r="E130" s="3" t="s">
        <v>254</v>
      </c>
      <c r="F130" s="4" t="n">
        <v>45709</v>
      </c>
      <c r="G130" s="5" t="n">
        <v>1660000</v>
      </c>
      <c r="H130" s="6" t="n">
        <v>3</v>
      </c>
      <c r="I130" s="6" t="n">
        <v>3</v>
      </c>
      <c r="J130" s="6" t="n">
        <v>3</v>
      </c>
      <c r="K130" s="6" t="n">
        <v>3</v>
      </c>
      <c r="L130" s="6" t="n">
        <v>2</v>
      </c>
      <c r="M130" s="6" t="n">
        <v>3</v>
      </c>
      <c r="N130" s="7" t="n">
        <f aca="false">AVERAGE(H130:M130)</f>
        <v>2.83333333333333</v>
      </c>
      <c r="O130" s="2" t="str">
        <f aca="false">IF(ROUND(N130,0)&lt;=1,"Deficiente",IF(ROUND(N130,0)=2,"Bajo",IF(ROUND(N130,0)=3,"Satisfactorio",IF(ROUND(N130,0)=4,"Bueno","Excelente"))))</f>
        <v>Satisfactorio</v>
      </c>
      <c r="P130" s="8" t="n">
        <f aca="false">MAX(0,MIN(0.2,(N130-3)/2*0.2))</f>
        <v>0</v>
      </c>
      <c r="Q130" s="9" t="n">
        <f aca="false">G130*12*P130</f>
        <v>0</v>
      </c>
      <c r="R130" s="10" t="s">
        <v>112</v>
      </c>
      <c r="S130" s="2" t="s">
        <v>31</v>
      </c>
    </row>
    <row r="131" customFormat="false" ht="26.85" hidden="false" customHeight="false" outlineLevel="0" collapsed="false">
      <c r="A131" s="2" t="s">
        <v>311</v>
      </c>
      <c r="B131" s="3" t="s">
        <v>312</v>
      </c>
      <c r="C131" s="3" t="s">
        <v>262</v>
      </c>
      <c r="D131" s="3" t="s">
        <v>252</v>
      </c>
      <c r="E131" s="3" t="s">
        <v>257</v>
      </c>
      <c r="F131" s="4" t="n">
        <v>45872</v>
      </c>
      <c r="G131" s="5" t="n">
        <v>2140000</v>
      </c>
      <c r="H131" s="6" t="n">
        <v>4</v>
      </c>
      <c r="I131" s="6" t="n">
        <v>4</v>
      </c>
      <c r="J131" s="6" t="n">
        <v>5</v>
      </c>
      <c r="K131" s="6" t="n">
        <v>4</v>
      </c>
      <c r="L131" s="6" t="n">
        <v>4</v>
      </c>
      <c r="M131" s="6" t="n">
        <v>4</v>
      </c>
      <c r="N131" s="7" t="n">
        <f aca="false">AVERAGE(H131:M131)</f>
        <v>4.16666666666667</v>
      </c>
      <c r="O131" s="2" t="str">
        <f aca="false">IF(ROUND(N131,0)&lt;=1,"Deficiente",IF(ROUND(N131,0)=2,"Bajo",IF(ROUND(N131,0)=3,"Satisfactorio",IF(ROUND(N131,0)=4,"Bueno","Excelente"))))</f>
        <v>Bueno</v>
      </c>
      <c r="P131" s="8" t="n">
        <f aca="false">MAX(0,MIN(0.2,(N131-3)/2*0.2))</f>
        <v>0.116666666666667</v>
      </c>
      <c r="Q131" s="9" t="n">
        <f aca="false">G131*12*P131</f>
        <v>2996000</v>
      </c>
      <c r="R131" s="10" t="s">
        <v>24</v>
      </c>
      <c r="S131" s="2" t="s">
        <v>31</v>
      </c>
    </row>
    <row r="132" customFormat="false" ht="26.85" hidden="false" customHeight="false" outlineLevel="0" collapsed="false">
      <c r="A132" s="2" t="s">
        <v>313</v>
      </c>
      <c r="B132" s="3" t="s">
        <v>314</v>
      </c>
      <c r="C132" s="3" t="s">
        <v>262</v>
      </c>
      <c r="D132" s="3" t="s">
        <v>252</v>
      </c>
      <c r="E132" s="3" t="s">
        <v>259</v>
      </c>
      <c r="F132" s="4" t="n">
        <v>45774</v>
      </c>
      <c r="G132" s="5" t="n">
        <v>2490000</v>
      </c>
      <c r="H132" s="6" t="n">
        <v>4</v>
      </c>
      <c r="I132" s="6" t="n">
        <v>3</v>
      </c>
      <c r="J132" s="6" t="n">
        <v>3</v>
      </c>
      <c r="K132" s="6" t="n">
        <v>3</v>
      </c>
      <c r="L132" s="6" t="n">
        <v>3</v>
      </c>
      <c r="M132" s="6" t="n">
        <v>4</v>
      </c>
      <c r="N132" s="7" t="n">
        <f aca="false">AVERAGE(H132:M132)</f>
        <v>3.33333333333333</v>
      </c>
      <c r="O132" s="2" t="str">
        <f aca="false">IF(ROUND(N132,0)&lt;=1,"Deficiente",IF(ROUND(N132,0)=2,"Bajo",IF(ROUND(N132,0)=3,"Satisfactorio",IF(ROUND(N132,0)=4,"Bueno","Excelente"))))</f>
        <v>Satisfactorio</v>
      </c>
      <c r="P132" s="8" t="n">
        <f aca="false">MAX(0,MIN(0.2,(N132-3)/2*0.2))</f>
        <v>0.0333333333333334</v>
      </c>
      <c r="Q132" s="9" t="n">
        <f aca="false">G132*12*P132</f>
        <v>996000</v>
      </c>
      <c r="R132" s="10" t="s">
        <v>112</v>
      </c>
      <c r="S132" s="2" t="s">
        <v>31</v>
      </c>
    </row>
    <row r="133" customFormat="false" ht="26.85" hidden="false" customHeight="false" outlineLevel="0" collapsed="false">
      <c r="A133" s="2" t="s">
        <v>315</v>
      </c>
      <c r="B133" s="3" t="s">
        <v>316</v>
      </c>
      <c r="C133" s="3" t="s">
        <v>262</v>
      </c>
      <c r="D133" s="3" t="s">
        <v>252</v>
      </c>
      <c r="E133" s="3" t="s">
        <v>254</v>
      </c>
      <c r="F133" s="4" t="n">
        <v>45865</v>
      </c>
      <c r="G133" s="5" t="n">
        <v>1560000</v>
      </c>
      <c r="H133" s="6" t="n">
        <v>5</v>
      </c>
      <c r="I133" s="6" t="n">
        <v>5</v>
      </c>
      <c r="J133" s="6" t="n">
        <v>5</v>
      </c>
      <c r="K133" s="6" t="n">
        <v>4</v>
      </c>
      <c r="L133" s="6" t="n">
        <v>4</v>
      </c>
      <c r="M133" s="6" t="n">
        <v>5</v>
      </c>
      <c r="N133" s="7" t="n">
        <f aca="false">AVERAGE(H133:M133)</f>
        <v>4.66666666666667</v>
      </c>
      <c r="O133" s="2" t="str">
        <f aca="false">IF(ROUND(N133,0)&lt;=1,"Deficiente",IF(ROUND(N133,0)=2,"Bajo",IF(ROUND(N133,0)=3,"Satisfactorio",IF(ROUND(N133,0)=4,"Bueno","Excelente"))))</f>
        <v>Excelente</v>
      </c>
      <c r="P133" s="8" t="n">
        <f aca="false">MAX(0,MIN(0.2,(N133-3)/2*0.2))</f>
        <v>0.166666666666667</v>
      </c>
      <c r="Q133" s="9" t="n">
        <f aca="false">G133*12*P133</f>
        <v>3120000</v>
      </c>
      <c r="R133" s="10" t="s">
        <v>30</v>
      </c>
      <c r="S133" s="2" t="s">
        <v>25</v>
      </c>
    </row>
    <row r="134" customFormat="false" ht="26.85" hidden="false" customHeight="false" outlineLevel="0" collapsed="false">
      <c r="A134" s="2" t="s">
        <v>317</v>
      </c>
      <c r="B134" s="3" t="s">
        <v>318</v>
      </c>
      <c r="C134" s="3" t="s">
        <v>262</v>
      </c>
      <c r="D134" s="3" t="s">
        <v>252</v>
      </c>
      <c r="E134" s="3" t="s">
        <v>257</v>
      </c>
      <c r="F134" s="4" t="n">
        <v>45807</v>
      </c>
      <c r="G134" s="5" t="n">
        <v>1790000</v>
      </c>
      <c r="H134" s="6" t="n">
        <v>4</v>
      </c>
      <c r="I134" s="6" t="n">
        <v>5</v>
      </c>
      <c r="J134" s="6" t="n">
        <v>4</v>
      </c>
      <c r="K134" s="6" t="n">
        <v>3</v>
      </c>
      <c r="L134" s="6" t="n">
        <v>4</v>
      </c>
      <c r="M134" s="6" t="n">
        <v>5</v>
      </c>
      <c r="N134" s="7" t="n">
        <f aca="false">AVERAGE(H134:M134)</f>
        <v>4.16666666666667</v>
      </c>
      <c r="O134" s="2" t="str">
        <f aca="false">IF(ROUND(N134,0)&lt;=1,"Deficiente",IF(ROUND(N134,0)=2,"Bajo",IF(ROUND(N134,0)=3,"Satisfactorio",IF(ROUND(N134,0)=4,"Bueno","Excelente"))))</f>
        <v>Bueno</v>
      </c>
      <c r="P134" s="8" t="n">
        <f aca="false">MAX(0,MIN(0.2,(N134-3)/2*0.2))</f>
        <v>0.116666666666667</v>
      </c>
      <c r="Q134" s="9" t="n">
        <f aca="false">G134*12*P134</f>
        <v>2506000</v>
      </c>
      <c r="R134" s="10" t="s">
        <v>35</v>
      </c>
      <c r="S134" s="2" t="s">
        <v>31</v>
      </c>
    </row>
    <row r="135" customFormat="false" ht="26.85" hidden="false" customHeight="false" outlineLevel="0" collapsed="false">
      <c r="A135" s="2" t="s">
        <v>319</v>
      </c>
      <c r="B135" s="3" t="s">
        <v>320</v>
      </c>
      <c r="C135" s="3" t="s">
        <v>262</v>
      </c>
      <c r="D135" s="3" t="s">
        <v>252</v>
      </c>
      <c r="E135" s="3" t="s">
        <v>259</v>
      </c>
      <c r="F135" s="4" t="n">
        <v>45782</v>
      </c>
      <c r="G135" s="5" t="n">
        <v>1930000</v>
      </c>
      <c r="H135" s="6" t="n">
        <v>2</v>
      </c>
      <c r="I135" s="6" t="n">
        <v>2</v>
      </c>
      <c r="J135" s="6" t="n">
        <v>2</v>
      </c>
      <c r="K135" s="6" t="n">
        <v>3</v>
      </c>
      <c r="L135" s="6" t="n">
        <v>3</v>
      </c>
      <c r="M135" s="6" t="n">
        <v>2</v>
      </c>
      <c r="N135" s="7" t="n">
        <f aca="false">AVERAGE(H135:M135)</f>
        <v>2.33333333333333</v>
      </c>
      <c r="O135" s="2" t="str">
        <f aca="false">IF(ROUND(N135,0)&lt;=1,"Deficiente",IF(ROUND(N135,0)=2,"Bajo",IF(ROUND(N135,0)=3,"Satisfactorio",IF(ROUND(N135,0)=4,"Bueno","Excelente"))))</f>
        <v>Bajo</v>
      </c>
      <c r="P135" s="8" t="n">
        <f aca="false">MAX(0,MIN(0.2,(N135-3)/2*0.2))</f>
        <v>0</v>
      </c>
      <c r="Q135" s="9" t="n">
        <f aca="false">G135*12*P135</f>
        <v>0</v>
      </c>
      <c r="R135" s="10" t="s">
        <v>88</v>
      </c>
      <c r="S135" s="2" t="s">
        <v>57</v>
      </c>
    </row>
    <row r="136" customFormat="false" ht="26.85" hidden="false" customHeight="false" outlineLevel="0" collapsed="false">
      <c r="A136" s="2" t="s">
        <v>321</v>
      </c>
      <c r="B136" s="3" t="s">
        <v>322</v>
      </c>
      <c r="C136" s="3" t="s">
        <v>262</v>
      </c>
      <c r="D136" s="3" t="s">
        <v>252</v>
      </c>
      <c r="E136" s="3" t="s">
        <v>254</v>
      </c>
      <c r="F136" s="4" t="n">
        <v>45693</v>
      </c>
      <c r="G136" s="5" t="n">
        <v>2310000</v>
      </c>
      <c r="H136" s="6" t="n">
        <v>4</v>
      </c>
      <c r="I136" s="6" t="n">
        <v>5</v>
      </c>
      <c r="J136" s="6" t="n">
        <v>4</v>
      </c>
      <c r="K136" s="6" t="n">
        <v>4</v>
      </c>
      <c r="L136" s="6" t="n">
        <v>4</v>
      </c>
      <c r="M136" s="6" t="n">
        <v>4</v>
      </c>
      <c r="N136" s="7" t="n">
        <f aca="false">AVERAGE(H136:M136)</f>
        <v>4.16666666666667</v>
      </c>
      <c r="O136" s="2" t="str">
        <f aca="false">IF(ROUND(N136,0)&lt;=1,"Deficiente",IF(ROUND(N136,0)=2,"Bajo",IF(ROUND(N136,0)=3,"Satisfactorio",IF(ROUND(N136,0)=4,"Bueno","Excelente"))))</f>
        <v>Bueno</v>
      </c>
      <c r="P136" s="8" t="n">
        <f aca="false">MAX(0,MIN(0.2,(N136-3)/2*0.2))</f>
        <v>0.116666666666667</v>
      </c>
      <c r="Q136" s="9" t="n">
        <f aca="false">G136*12*P136</f>
        <v>3234000</v>
      </c>
      <c r="R136" s="10" t="s">
        <v>35</v>
      </c>
      <c r="S136" s="2" t="s">
        <v>31</v>
      </c>
    </row>
    <row r="137" customFormat="false" ht="26.85" hidden="false" customHeight="false" outlineLevel="0" collapsed="false">
      <c r="A137" s="2" t="s">
        <v>323</v>
      </c>
      <c r="B137" s="3" t="s">
        <v>324</v>
      </c>
      <c r="C137" s="3" t="s">
        <v>262</v>
      </c>
      <c r="D137" s="3" t="s">
        <v>252</v>
      </c>
      <c r="E137" s="3" t="s">
        <v>257</v>
      </c>
      <c r="F137" s="4" t="n">
        <v>45876</v>
      </c>
      <c r="G137" s="5" t="n">
        <v>2060000</v>
      </c>
      <c r="H137" s="6" t="n">
        <v>3</v>
      </c>
      <c r="I137" s="6" t="n">
        <v>5</v>
      </c>
      <c r="J137" s="6" t="n">
        <v>3</v>
      </c>
      <c r="K137" s="6" t="n">
        <v>5</v>
      </c>
      <c r="L137" s="6" t="n">
        <v>4</v>
      </c>
      <c r="M137" s="6" t="n">
        <v>4</v>
      </c>
      <c r="N137" s="7" t="n">
        <f aca="false">AVERAGE(H137:M137)</f>
        <v>4</v>
      </c>
      <c r="O137" s="2" t="str">
        <f aca="false">IF(ROUND(N137,0)&lt;=1,"Deficiente",IF(ROUND(N137,0)=2,"Bajo",IF(ROUND(N137,0)=3,"Satisfactorio",IF(ROUND(N137,0)=4,"Bueno","Excelente"))))</f>
        <v>Bueno</v>
      </c>
      <c r="P137" s="8" t="n">
        <f aca="false">MAX(0,MIN(0.2,(N137-3)/2*0.2))</f>
        <v>0.1</v>
      </c>
      <c r="Q137" s="9" t="n">
        <f aca="false">G137*12*P137</f>
        <v>2472000</v>
      </c>
      <c r="R137" s="10" t="s">
        <v>24</v>
      </c>
      <c r="S137" s="2" t="s">
        <v>31</v>
      </c>
    </row>
    <row r="138" customFormat="false" ht="26.85" hidden="false" customHeight="false" outlineLevel="0" collapsed="false">
      <c r="A138" s="2" t="s">
        <v>325</v>
      </c>
      <c r="B138" s="3" t="s">
        <v>326</v>
      </c>
      <c r="C138" s="3" t="s">
        <v>327</v>
      </c>
      <c r="D138" s="3" t="s">
        <v>328</v>
      </c>
      <c r="E138" s="3" t="s">
        <v>20</v>
      </c>
      <c r="F138" s="4" t="n">
        <v>45676</v>
      </c>
      <c r="G138" s="5" t="n">
        <v>8670000</v>
      </c>
      <c r="H138" s="6" t="n">
        <v>5</v>
      </c>
      <c r="I138" s="6" t="n">
        <v>5</v>
      </c>
      <c r="J138" s="6" t="n">
        <v>5</v>
      </c>
      <c r="K138" s="6" t="n">
        <v>5</v>
      </c>
      <c r="L138" s="6" t="n">
        <v>5</v>
      </c>
      <c r="M138" s="6" t="n">
        <v>5</v>
      </c>
      <c r="N138" s="7" t="n">
        <f aca="false">AVERAGE(H138:M138)</f>
        <v>5</v>
      </c>
      <c r="O138" s="2" t="str">
        <f aca="false">IF(ROUND(N138,0)&lt;=1,"Deficiente",IF(ROUND(N138,0)=2,"Bajo",IF(ROUND(N138,0)=3,"Satisfactorio",IF(ROUND(N138,0)=4,"Bueno","Excelente"))))</f>
        <v>Excelente</v>
      </c>
      <c r="P138" s="8" t="n">
        <f aca="false">MAX(0,MIN(0.2,(N138-3)/2*0.2))</f>
        <v>0.2</v>
      </c>
      <c r="Q138" s="9" t="n">
        <f aca="false">G138*12*P138</f>
        <v>20808000</v>
      </c>
      <c r="R138" s="10" t="s">
        <v>30</v>
      </c>
      <c r="S138" s="2" t="s">
        <v>31</v>
      </c>
    </row>
    <row r="139" customFormat="false" ht="39.55" hidden="false" customHeight="false" outlineLevel="0" collapsed="false">
      <c r="A139" s="2" t="s">
        <v>329</v>
      </c>
      <c r="B139" s="3" t="s">
        <v>330</v>
      </c>
      <c r="C139" s="3" t="s">
        <v>331</v>
      </c>
      <c r="D139" s="3" t="s">
        <v>328</v>
      </c>
      <c r="E139" s="3" t="s">
        <v>327</v>
      </c>
      <c r="F139" s="4" t="n">
        <v>45871</v>
      </c>
      <c r="G139" s="5" t="n">
        <v>4200000</v>
      </c>
      <c r="H139" s="6" t="n">
        <v>5</v>
      </c>
      <c r="I139" s="6" t="n">
        <v>5</v>
      </c>
      <c r="J139" s="6" t="n">
        <v>5</v>
      </c>
      <c r="K139" s="6" t="n">
        <v>5</v>
      </c>
      <c r="L139" s="6" t="n">
        <v>5</v>
      </c>
      <c r="M139" s="6" t="n">
        <v>5</v>
      </c>
      <c r="N139" s="7" t="n">
        <f aca="false">AVERAGE(H139:M139)</f>
        <v>5</v>
      </c>
      <c r="O139" s="2" t="str">
        <f aca="false">IF(ROUND(N139,0)&lt;=1,"Deficiente",IF(ROUND(N139,0)=2,"Bajo",IF(ROUND(N139,0)=3,"Satisfactorio",IF(ROUND(N139,0)=4,"Bueno","Excelente"))))</f>
        <v>Excelente</v>
      </c>
      <c r="P139" s="8" t="n">
        <f aca="false">MAX(0,MIN(0.2,(N139-3)/2*0.2))</f>
        <v>0.2</v>
      </c>
      <c r="Q139" s="9" t="n">
        <f aca="false">G139*12*P139</f>
        <v>10080000</v>
      </c>
      <c r="R139" s="10" t="s">
        <v>67</v>
      </c>
      <c r="S139" s="2" t="s">
        <v>25</v>
      </c>
    </row>
    <row r="140" customFormat="false" ht="39.55" hidden="false" customHeight="false" outlineLevel="0" collapsed="false">
      <c r="A140" s="2" t="s">
        <v>332</v>
      </c>
      <c r="B140" s="3" t="s">
        <v>333</v>
      </c>
      <c r="C140" s="3" t="s">
        <v>331</v>
      </c>
      <c r="D140" s="3" t="s">
        <v>328</v>
      </c>
      <c r="E140" s="3" t="s">
        <v>327</v>
      </c>
      <c r="F140" s="4" t="n">
        <v>45874</v>
      </c>
      <c r="G140" s="5" t="n">
        <v>4540000</v>
      </c>
      <c r="H140" s="6" t="n">
        <v>5</v>
      </c>
      <c r="I140" s="6" t="n">
        <v>5</v>
      </c>
      <c r="J140" s="6" t="n">
        <v>4</v>
      </c>
      <c r="K140" s="6" t="n">
        <v>5</v>
      </c>
      <c r="L140" s="6" t="n">
        <v>5</v>
      </c>
      <c r="M140" s="6" t="n">
        <v>5</v>
      </c>
      <c r="N140" s="7" t="n">
        <f aca="false">AVERAGE(H140:M140)</f>
        <v>4.83333333333333</v>
      </c>
      <c r="O140" s="2" t="str">
        <f aca="false">IF(ROUND(N140,0)&lt;=1,"Deficiente",IF(ROUND(N140,0)=2,"Bajo",IF(ROUND(N140,0)=3,"Satisfactorio",IF(ROUND(N140,0)=4,"Bueno","Excelente"))))</f>
        <v>Excelente</v>
      </c>
      <c r="P140" s="8" t="n">
        <f aca="false">MAX(0,MIN(0.2,(N140-3)/2*0.2))</f>
        <v>0.183333333333333</v>
      </c>
      <c r="Q140" s="9" t="n">
        <f aca="false">G140*12*P140</f>
        <v>9988000</v>
      </c>
      <c r="R140" s="10" t="s">
        <v>67</v>
      </c>
      <c r="S140" s="2" t="s">
        <v>25</v>
      </c>
    </row>
    <row r="141" customFormat="false" ht="39.55" hidden="false" customHeight="false" outlineLevel="0" collapsed="false">
      <c r="A141" s="2" t="s">
        <v>334</v>
      </c>
      <c r="B141" s="3" t="s">
        <v>335</v>
      </c>
      <c r="C141" s="3" t="s">
        <v>336</v>
      </c>
      <c r="D141" s="3" t="s">
        <v>328</v>
      </c>
      <c r="E141" s="3" t="s">
        <v>330</v>
      </c>
      <c r="F141" s="4" t="n">
        <v>45776</v>
      </c>
      <c r="G141" s="5" t="n">
        <v>1410000</v>
      </c>
      <c r="H141" s="6" t="n">
        <v>3</v>
      </c>
      <c r="I141" s="6" t="n">
        <v>3</v>
      </c>
      <c r="J141" s="6" t="n">
        <v>3</v>
      </c>
      <c r="K141" s="6" t="n">
        <v>2</v>
      </c>
      <c r="L141" s="6" t="n">
        <v>2</v>
      </c>
      <c r="M141" s="6" t="n">
        <v>3</v>
      </c>
      <c r="N141" s="7" t="n">
        <f aca="false">AVERAGE(H141:M141)</f>
        <v>2.66666666666667</v>
      </c>
      <c r="O141" s="2" t="str">
        <f aca="false">IF(ROUND(N141,0)&lt;=1,"Deficiente",IF(ROUND(N141,0)=2,"Bajo",IF(ROUND(N141,0)=3,"Satisfactorio",IF(ROUND(N141,0)=4,"Bueno","Excelente"))))</f>
        <v>Satisfactorio</v>
      </c>
      <c r="P141" s="8" t="n">
        <f aca="false">MAX(0,MIN(0.2,(N141-3)/2*0.2))</f>
        <v>0</v>
      </c>
      <c r="Q141" s="9" t="n">
        <f aca="false">G141*12*P141</f>
        <v>0</v>
      </c>
      <c r="R141" s="10" t="s">
        <v>97</v>
      </c>
      <c r="S141" s="2" t="s">
        <v>51</v>
      </c>
    </row>
    <row r="142" customFormat="false" ht="39.55" hidden="false" customHeight="false" outlineLevel="0" collapsed="false">
      <c r="A142" s="2" t="s">
        <v>337</v>
      </c>
      <c r="B142" s="3" t="s">
        <v>338</v>
      </c>
      <c r="C142" s="3" t="s">
        <v>336</v>
      </c>
      <c r="D142" s="3" t="s">
        <v>328</v>
      </c>
      <c r="E142" s="3" t="s">
        <v>333</v>
      </c>
      <c r="F142" s="4" t="n">
        <v>45698</v>
      </c>
      <c r="G142" s="5" t="n">
        <v>1720000</v>
      </c>
      <c r="H142" s="6" t="n">
        <v>4</v>
      </c>
      <c r="I142" s="6" t="n">
        <v>4</v>
      </c>
      <c r="J142" s="6" t="n">
        <v>4</v>
      </c>
      <c r="K142" s="6" t="n">
        <v>4</v>
      </c>
      <c r="L142" s="6" t="n">
        <v>3</v>
      </c>
      <c r="M142" s="6" t="n">
        <v>4</v>
      </c>
      <c r="N142" s="7" t="n">
        <f aca="false">AVERAGE(H142:M142)</f>
        <v>3.83333333333333</v>
      </c>
      <c r="O142" s="2" t="str">
        <f aca="false">IF(ROUND(N142,0)&lt;=1,"Deficiente",IF(ROUND(N142,0)=2,"Bajo",IF(ROUND(N142,0)=3,"Satisfactorio",IF(ROUND(N142,0)=4,"Bueno","Excelente"))))</f>
        <v>Bueno</v>
      </c>
      <c r="P142" s="8" t="n">
        <f aca="false">MAX(0,MIN(0.2,(N142-3)/2*0.2))</f>
        <v>0.0833333333333334</v>
      </c>
      <c r="Q142" s="9" t="n">
        <f aca="false">G142*12*P142</f>
        <v>1720000</v>
      </c>
      <c r="R142" s="10" t="s">
        <v>45</v>
      </c>
      <c r="S142" s="2" t="s">
        <v>31</v>
      </c>
    </row>
    <row r="143" customFormat="false" ht="26.85" hidden="false" customHeight="false" outlineLevel="0" collapsed="false">
      <c r="A143" s="2" t="s">
        <v>339</v>
      </c>
      <c r="B143" s="3" t="s">
        <v>340</v>
      </c>
      <c r="C143" s="3" t="s">
        <v>336</v>
      </c>
      <c r="D143" s="3" t="s">
        <v>328</v>
      </c>
      <c r="E143" s="3" t="s">
        <v>330</v>
      </c>
      <c r="F143" s="4" t="n">
        <v>45787</v>
      </c>
      <c r="G143" s="5" t="n">
        <v>1760000</v>
      </c>
      <c r="H143" s="6" t="n">
        <v>4</v>
      </c>
      <c r="I143" s="6" t="n">
        <v>4</v>
      </c>
      <c r="J143" s="6" t="n">
        <v>4</v>
      </c>
      <c r="K143" s="6" t="n">
        <v>4</v>
      </c>
      <c r="L143" s="6" t="n">
        <v>4</v>
      </c>
      <c r="M143" s="6" t="n">
        <v>4</v>
      </c>
      <c r="N143" s="7" t="n">
        <f aca="false">AVERAGE(H143:M143)</f>
        <v>4</v>
      </c>
      <c r="O143" s="2" t="str">
        <f aca="false">IF(ROUND(N143,0)&lt;=1,"Deficiente",IF(ROUND(N143,0)=2,"Bajo",IF(ROUND(N143,0)=3,"Satisfactorio",IF(ROUND(N143,0)=4,"Bueno","Excelente"))))</f>
        <v>Bueno</v>
      </c>
      <c r="P143" s="8" t="n">
        <f aca="false">MAX(0,MIN(0.2,(N143-3)/2*0.2))</f>
        <v>0.1</v>
      </c>
      <c r="Q143" s="9" t="n">
        <f aca="false">G143*12*P143</f>
        <v>2112000</v>
      </c>
      <c r="R143" s="10" t="s">
        <v>24</v>
      </c>
      <c r="S143" s="2" t="s">
        <v>25</v>
      </c>
    </row>
    <row r="144" customFormat="false" ht="26.85" hidden="false" customHeight="false" outlineLevel="0" collapsed="false">
      <c r="A144" s="2" t="s">
        <v>341</v>
      </c>
      <c r="B144" s="3" t="s">
        <v>342</v>
      </c>
      <c r="C144" s="3" t="s">
        <v>336</v>
      </c>
      <c r="D144" s="3" t="s">
        <v>328</v>
      </c>
      <c r="E144" s="3" t="s">
        <v>333</v>
      </c>
      <c r="F144" s="4" t="n">
        <v>45801</v>
      </c>
      <c r="G144" s="5" t="n">
        <v>1800000</v>
      </c>
      <c r="H144" s="6" t="n">
        <v>4</v>
      </c>
      <c r="I144" s="6" t="n">
        <v>4</v>
      </c>
      <c r="J144" s="6" t="n">
        <v>3</v>
      </c>
      <c r="K144" s="6" t="n">
        <v>4</v>
      </c>
      <c r="L144" s="6" t="n">
        <v>4</v>
      </c>
      <c r="M144" s="6" t="n">
        <v>4</v>
      </c>
      <c r="N144" s="7" t="n">
        <f aca="false">AVERAGE(H144:M144)</f>
        <v>3.83333333333333</v>
      </c>
      <c r="O144" s="2" t="str">
        <f aca="false">IF(ROUND(N144,0)&lt;=1,"Deficiente",IF(ROUND(N144,0)=2,"Bajo",IF(ROUND(N144,0)=3,"Satisfactorio",IF(ROUND(N144,0)=4,"Bueno","Excelente"))))</f>
        <v>Bueno</v>
      </c>
      <c r="P144" s="8" t="n">
        <f aca="false">MAX(0,MIN(0.2,(N144-3)/2*0.2))</f>
        <v>0.0833333333333334</v>
      </c>
      <c r="Q144" s="9" t="n">
        <f aca="false">G144*12*P144</f>
        <v>1800000</v>
      </c>
      <c r="R144" s="10" t="s">
        <v>24</v>
      </c>
      <c r="S144" s="2" t="s">
        <v>31</v>
      </c>
    </row>
    <row r="145" customFormat="false" ht="26.85" hidden="false" customHeight="false" outlineLevel="0" collapsed="false">
      <c r="A145" s="2" t="s">
        <v>343</v>
      </c>
      <c r="B145" s="3" t="s">
        <v>344</v>
      </c>
      <c r="C145" s="3" t="s">
        <v>336</v>
      </c>
      <c r="D145" s="3" t="s">
        <v>328</v>
      </c>
      <c r="E145" s="3" t="s">
        <v>330</v>
      </c>
      <c r="F145" s="4" t="n">
        <v>45849</v>
      </c>
      <c r="G145" s="5" t="n">
        <v>2430000</v>
      </c>
      <c r="H145" s="6" t="n">
        <v>4</v>
      </c>
      <c r="I145" s="6" t="n">
        <v>5</v>
      </c>
      <c r="J145" s="6" t="n">
        <v>5</v>
      </c>
      <c r="K145" s="6" t="n">
        <v>4</v>
      </c>
      <c r="L145" s="6" t="n">
        <v>5</v>
      </c>
      <c r="M145" s="6" t="n">
        <v>5</v>
      </c>
      <c r="N145" s="7" t="n">
        <f aca="false">AVERAGE(H145:M145)</f>
        <v>4.66666666666667</v>
      </c>
      <c r="O145" s="2" t="str">
        <f aca="false">IF(ROUND(N145,0)&lt;=1,"Deficiente",IF(ROUND(N145,0)=2,"Bajo",IF(ROUND(N145,0)=3,"Satisfactorio",IF(ROUND(N145,0)=4,"Bueno","Excelente"))))</f>
        <v>Excelente</v>
      </c>
      <c r="P145" s="8" t="n">
        <f aca="false">MAX(0,MIN(0.2,(N145-3)/2*0.2))</f>
        <v>0.166666666666667</v>
      </c>
      <c r="Q145" s="9" t="n">
        <f aca="false">G145*12*P145</f>
        <v>4860000</v>
      </c>
      <c r="R145" s="10" t="s">
        <v>30</v>
      </c>
      <c r="S145" s="2" t="s">
        <v>25</v>
      </c>
    </row>
    <row r="146" customFormat="false" ht="26.85" hidden="false" customHeight="false" outlineLevel="0" collapsed="false">
      <c r="A146" s="2" t="s">
        <v>345</v>
      </c>
      <c r="B146" s="3" t="s">
        <v>346</v>
      </c>
      <c r="C146" s="3" t="s">
        <v>336</v>
      </c>
      <c r="D146" s="3" t="s">
        <v>328</v>
      </c>
      <c r="E146" s="3" t="s">
        <v>333</v>
      </c>
      <c r="F146" s="4" t="n">
        <v>45799</v>
      </c>
      <c r="G146" s="5" t="n">
        <v>2080000</v>
      </c>
      <c r="H146" s="6" t="n">
        <v>4</v>
      </c>
      <c r="I146" s="6" t="n">
        <v>4</v>
      </c>
      <c r="J146" s="6" t="n">
        <v>4</v>
      </c>
      <c r="K146" s="6" t="n">
        <v>4</v>
      </c>
      <c r="L146" s="6" t="n">
        <v>4</v>
      </c>
      <c r="M146" s="6" t="n">
        <v>5</v>
      </c>
      <c r="N146" s="7" t="n">
        <f aca="false">AVERAGE(H146:M146)</f>
        <v>4.16666666666667</v>
      </c>
      <c r="O146" s="2" t="str">
        <f aca="false">IF(ROUND(N146,0)&lt;=1,"Deficiente",IF(ROUND(N146,0)=2,"Bajo",IF(ROUND(N146,0)=3,"Satisfactorio",IF(ROUND(N146,0)=4,"Bueno","Excelente"))))</f>
        <v>Bueno</v>
      </c>
      <c r="P146" s="8" t="n">
        <f aca="false">MAX(0,MIN(0.2,(N146-3)/2*0.2))</f>
        <v>0.116666666666667</v>
      </c>
      <c r="Q146" s="9" t="n">
        <f aca="false">G146*12*P146</f>
        <v>2912000</v>
      </c>
      <c r="R146" s="10" t="s">
        <v>24</v>
      </c>
      <c r="S146" s="2" t="s">
        <v>31</v>
      </c>
    </row>
    <row r="147" customFormat="false" ht="39.55" hidden="false" customHeight="false" outlineLevel="0" collapsed="false">
      <c r="A147" s="2" t="s">
        <v>347</v>
      </c>
      <c r="B147" s="3" t="s">
        <v>348</v>
      </c>
      <c r="C147" s="3" t="s">
        <v>336</v>
      </c>
      <c r="D147" s="3" t="s">
        <v>328</v>
      </c>
      <c r="E147" s="3" t="s">
        <v>330</v>
      </c>
      <c r="F147" s="4" t="n">
        <v>45771</v>
      </c>
      <c r="G147" s="5" t="n">
        <v>1810000</v>
      </c>
      <c r="H147" s="6" t="n">
        <v>5</v>
      </c>
      <c r="I147" s="6" t="n">
        <v>5</v>
      </c>
      <c r="J147" s="6" t="n">
        <v>5</v>
      </c>
      <c r="K147" s="6" t="n">
        <v>5</v>
      </c>
      <c r="L147" s="6" t="n">
        <v>5</v>
      </c>
      <c r="M147" s="6" t="n">
        <v>5</v>
      </c>
      <c r="N147" s="7" t="n">
        <f aca="false">AVERAGE(H147:M147)</f>
        <v>5</v>
      </c>
      <c r="O147" s="2" t="str">
        <f aca="false">IF(ROUND(N147,0)&lt;=1,"Deficiente",IF(ROUND(N147,0)=2,"Bajo",IF(ROUND(N147,0)=3,"Satisfactorio",IF(ROUND(N147,0)=4,"Bueno","Excelente"))))</f>
        <v>Excelente</v>
      </c>
      <c r="P147" s="8" t="n">
        <f aca="false">MAX(0,MIN(0.2,(N147-3)/2*0.2))</f>
        <v>0.2</v>
      </c>
      <c r="Q147" s="9" t="n">
        <f aca="false">G147*12*P147</f>
        <v>4344000</v>
      </c>
      <c r="R147" s="10" t="s">
        <v>67</v>
      </c>
      <c r="S147" s="2" t="s">
        <v>31</v>
      </c>
    </row>
    <row r="148" customFormat="false" ht="26.85" hidden="false" customHeight="false" outlineLevel="0" collapsed="false">
      <c r="A148" s="2" t="s">
        <v>349</v>
      </c>
      <c r="B148" s="3" t="s">
        <v>350</v>
      </c>
      <c r="C148" s="3" t="s">
        <v>336</v>
      </c>
      <c r="D148" s="3" t="s">
        <v>328</v>
      </c>
      <c r="E148" s="3" t="s">
        <v>333</v>
      </c>
      <c r="F148" s="4" t="n">
        <v>45746</v>
      </c>
      <c r="G148" s="5" t="n">
        <v>2590000</v>
      </c>
      <c r="H148" s="6" t="n">
        <v>4</v>
      </c>
      <c r="I148" s="6" t="n">
        <v>5</v>
      </c>
      <c r="J148" s="6" t="n">
        <v>5</v>
      </c>
      <c r="K148" s="6" t="n">
        <v>5</v>
      </c>
      <c r="L148" s="6" t="n">
        <v>5</v>
      </c>
      <c r="M148" s="6" t="n">
        <v>5</v>
      </c>
      <c r="N148" s="7" t="n">
        <f aca="false">AVERAGE(H148:M148)</f>
        <v>4.83333333333333</v>
      </c>
      <c r="O148" s="2" t="str">
        <f aca="false">IF(ROUND(N148,0)&lt;=1,"Deficiente",IF(ROUND(N148,0)=2,"Bajo",IF(ROUND(N148,0)=3,"Satisfactorio",IF(ROUND(N148,0)=4,"Bueno","Excelente"))))</f>
        <v>Excelente</v>
      </c>
      <c r="P148" s="8" t="n">
        <f aca="false">MAX(0,MIN(0.2,(N148-3)/2*0.2))</f>
        <v>0.183333333333333</v>
      </c>
      <c r="Q148" s="9" t="n">
        <f aca="false">G148*12*P148</f>
        <v>5698000</v>
      </c>
      <c r="R148" s="10" t="s">
        <v>30</v>
      </c>
      <c r="S148" s="2" t="s">
        <v>31</v>
      </c>
    </row>
    <row r="149" customFormat="false" ht="26.85" hidden="false" customHeight="false" outlineLevel="0" collapsed="false">
      <c r="A149" s="2" t="s">
        <v>351</v>
      </c>
      <c r="B149" s="3" t="s">
        <v>352</v>
      </c>
      <c r="C149" s="3" t="s">
        <v>336</v>
      </c>
      <c r="D149" s="3" t="s">
        <v>328</v>
      </c>
      <c r="E149" s="3" t="s">
        <v>330</v>
      </c>
      <c r="F149" s="4" t="n">
        <v>45727</v>
      </c>
      <c r="G149" s="5" t="n">
        <v>1940000</v>
      </c>
      <c r="H149" s="6" t="n">
        <v>4</v>
      </c>
      <c r="I149" s="6" t="n">
        <v>4</v>
      </c>
      <c r="J149" s="6" t="n">
        <v>4</v>
      </c>
      <c r="K149" s="6" t="n">
        <v>4</v>
      </c>
      <c r="L149" s="6" t="n">
        <v>4</v>
      </c>
      <c r="M149" s="6" t="n">
        <v>4</v>
      </c>
      <c r="N149" s="7" t="n">
        <f aca="false">AVERAGE(H149:M149)</f>
        <v>4</v>
      </c>
      <c r="O149" s="2" t="str">
        <f aca="false">IF(ROUND(N149,0)&lt;=1,"Deficiente",IF(ROUND(N149,0)=2,"Bajo",IF(ROUND(N149,0)=3,"Satisfactorio",IF(ROUND(N149,0)=4,"Bueno","Excelente"))))</f>
        <v>Bueno</v>
      </c>
      <c r="P149" s="8" t="n">
        <f aca="false">MAX(0,MIN(0.2,(N149-3)/2*0.2))</f>
        <v>0.1</v>
      </c>
      <c r="Q149" s="9" t="n">
        <f aca="false">G149*12*P149</f>
        <v>2328000</v>
      </c>
      <c r="R149" s="10" t="s">
        <v>60</v>
      </c>
      <c r="S149" s="2" t="s">
        <v>31</v>
      </c>
    </row>
    <row r="150" customFormat="false" ht="26.85" hidden="false" customHeight="false" outlineLevel="0" collapsed="false">
      <c r="A150" s="2" t="s">
        <v>353</v>
      </c>
      <c r="B150" s="3" t="s">
        <v>354</v>
      </c>
      <c r="C150" s="3" t="s">
        <v>336</v>
      </c>
      <c r="D150" s="3" t="s">
        <v>328</v>
      </c>
      <c r="E150" s="3" t="s">
        <v>333</v>
      </c>
      <c r="F150" s="4" t="n">
        <v>45768</v>
      </c>
      <c r="G150" s="5" t="n">
        <v>2200000</v>
      </c>
      <c r="H150" s="6" t="n">
        <v>3</v>
      </c>
      <c r="I150" s="6" t="n">
        <v>4</v>
      </c>
      <c r="J150" s="6" t="n">
        <v>4</v>
      </c>
      <c r="K150" s="6" t="n">
        <v>4</v>
      </c>
      <c r="L150" s="6" t="n">
        <v>4</v>
      </c>
      <c r="M150" s="6" t="n">
        <v>4</v>
      </c>
      <c r="N150" s="7" t="n">
        <f aca="false">AVERAGE(H150:M150)</f>
        <v>3.83333333333333</v>
      </c>
      <c r="O150" s="2" t="str">
        <f aca="false">IF(ROUND(N150,0)&lt;=1,"Deficiente",IF(ROUND(N150,0)=2,"Bajo",IF(ROUND(N150,0)=3,"Satisfactorio",IF(ROUND(N150,0)=4,"Bueno","Excelente"))))</f>
        <v>Bueno</v>
      </c>
      <c r="P150" s="8" t="n">
        <f aca="false">MAX(0,MIN(0.2,(N150-3)/2*0.2))</f>
        <v>0.0833333333333334</v>
      </c>
      <c r="Q150" s="9" t="n">
        <f aca="false">G150*12*P150</f>
        <v>2200000</v>
      </c>
      <c r="R150" s="10" t="s">
        <v>24</v>
      </c>
      <c r="S150" s="2" t="s">
        <v>31</v>
      </c>
    </row>
    <row r="151" customFormat="false" ht="26.85" hidden="false" customHeight="false" outlineLevel="0" collapsed="false">
      <c r="A151" s="2" t="s">
        <v>355</v>
      </c>
      <c r="B151" s="3" t="s">
        <v>356</v>
      </c>
      <c r="C151" s="3" t="s">
        <v>336</v>
      </c>
      <c r="D151" s="3" t="s">
        <v>328</v>
      </c>
      <c r="E151" s="3" t="s">
        <v>330</v>
      </c>
      <c r="F151" s="4" t="n">
        <v>45869</v>
      </c>
      <c r="G151" s="5" t="n">
        <v>1940000</v>
      </c>
      <c r="H151" s="6" t="n">
        <v>4</v>
      </c>
      <c r="I151" s="6" t="n">
        <v>4</v>
      </c>
      <c r="J151" s="6" t="n">
        <v>4</v>
      </c>
      <c r="K151" s="6" t="n">
        <v>4</v>
      </c>
      <c r="L151" s="6" t="n">
        <v>4</v>
      </c>
      <c r="M151" s="6" t="n">
        <v>3</v>
      </c>
      <c r="N151" s="7" t="n">
        <f aca="false">AVERAGE(H151:M151)</f>
        <v>3.83333333333333</v>
      </c>
      <c r="O151" s="2" t="str">
        <f aca="false">IF(ROUND(N151,0)&lt;=1,"Deficiente",IF(ROUND(N151,0)=2,"Bajo",IF(ROUND(N151,0)=3,"Satisfactorio",IF(ROUND(N151,0)=4,"Bueno","Excelente"))))</f>
        <v>Bueno</v>
      </c>
      <c r="P151" s="8" t="n">
        <f aca="false">MAX(0,MIN(0.2,(N151-3)/2*0.2))</f>
        <v>0.0833333333333334</v>
      </c>
      <c r="Q151" s="9" t="n">
        <f aca="false">G151*12*P151</f>
        <v>1940000</v>
      </c>
      <c r="R151" s="10" t="s">
        <v>24</v>
      </c>
      <c r="S151" s="2" t="s">
        <v>25</v>
      </c>
    </row>
    <row r="152" customFormat="false" ht="26.85" hidden="false" customHeight="false" outlineLevel="0" collapsed="false">
      <c r="A152" s="2" t="s">
        <v>357</v>
      </c>
      <c r="B152" s="3" t="s">
        <v>358</v>
      </c>
      <c r="C152" s="3" t="s">
        <v>336</v>
      </c>
      <c r="D152" s="3" t="s">
        <v>328</v>
      </c>
      <c r="E152" s="3" t="s">
        <v>333</v>
      </c>
      <c r="F152" s="4" t="n">
        <v>45734</v>
      </c>
      <c r="G152" s="5" t="n">
        <v>1530000</v>
      </c>
      <c r="H152" s="6" t="n">
        <v>3</v>
      </c>
      <c r="I152" s="6" t="n">
        <v>4</v>
      </c>
      <c r="J152" s="6" t="n">
        <v>4</v>
      </c>
      <c r="K152" s="6" t="n">
        <v>3</v>
      </c>
      <c r="L152" s="6" t="n">
        <v>3</v>
      </c>
      <c r="M152" s="6" t="n">
        <v>3</v>
      </c>
      <c r="N152" s="7" t="n">
        <f aca="false">AVERAGE(H152:M152)</f>
        <v>3.33333333333333</v>
      </c>
      <c r="O152" s="2" t="str">
        <f aca="false">IF(ROUND(N152,0)&lt;=1,"Deficiente",IF(ROUND(N152,0)=2,"Bajo",IF(ROUND(N152,0)=3,"Satisfactorio",IF(ROUND(N152,0)=4,"Bueno","Excelente"))))</f>
        <v>Satisfactorio</v>
      </c>
      <c r="P152" s="8" t="n">
        <f aca="false">MAX(0,MIN(0.2,(N152-3)/2*0.2))</f>
        <v>0.0333333333333334</v>
      </c>
      <c r="Q152" s="9" t="n">
        <f aca="false">G152*12*P152</f>
        <v>612000</v>
      </c>
      <c r="R152" s="10" t="s">
        <v>50</v>
      </c>
      <c r="S152" s="2" t="s">
        <v>31</v>
      </c>
    </row>
    <row r="153" customFormat="false" ht="39.55" hidden="false" customHeight="false" outlineLevel="0" collapsed="false">
      <c r="A153" s="2" t="s">
        <v>359</v>
      </c>
      <c r="B153" s="3" t="s">
        <v>360</v>
      </c>
      <c r="C153" s="3" t="s">
        <v>361</v>
      </c>
      <c r="D153" s="3" t="s">
        <v>362</v>
      </c>
      <c r="E153" s="3" t="s">
        <v>20</v>
      </c>
      <c r="F153" s="4" t="n">
        <v>45671</v>
      </c>
      <c r="G153" s="5" t="n">
        <v>7440000</v>
      </c>
      <c r="H153" s="6" t="n">
        <v>3</v>
      </c>
      <c r="I153" s="6" t="n">
        <v>3</v>
      </c>
      <c r="J153" s="6" t="n">
        <v>2</v>
      </c>
      <c r="K153" s="6" t="n">
        <v>3</v>
      </c>
      <c r="L153" s="6" t="n">
        <v>3</v>
      </c>
      <c r="M153" s="6" t="n">
        <v>3</v>
      </c>
      <c r="N153" s="7" t="n">
        <f aca="false">AVERAGE(H153:M153)</f>
        <v>2.83333333333333</v>
      </c>
      <c r="O153" s="2" t="str">
        <f aca="false">IF(ROUND(N153,0)&lt;=1,"Deficiente",IF(ROUND(N153,0)=2,"Bajo",IF(ROUND(N153,0)=3,"Satisfactorio",IF(ROUND(N153,0)=4,"Bueno","Excelente"))))</f>
        <v>Satisfactorio</v>
      </c>
      <c r="P153" s="8" t="n">
        <f aca="false">MAX(0,MIN(0.2,(N153-3)/2*0.2))</f>
        <v>0</v>
      </c>
      <c r="Q153" s="9" t="n">
        <f aca="false">G153*12*P153</f>
        <v>0</v>
      </c>
      <c r="R153" s="10" t="s">
        <v>45</v>
      </c>
      <c r="S153" s="2" t="s">
        <v>31</v>
      </c>
    </row>
    <row r="154" customFormat="false" ht="26.85" hidden="false" customHeight="false" outlineLevel="0" collapsed="false">
      <c r="A154" s="2" t="s">
        <v>363</v>
      </c>
      <c r="B154" s="3" t="s">
        <v>364</v>
      </c>
      <c r="C154" s="3" t="s">
        <v>365</v>
      </c>
      <c r="D154" s="3" t="s">
        <v>362</v>
      </c>
      <c r="E154" s="3" t="s">
        <v>361</v>
      </c>
      <c r="F154" s="4" t="n">
        <v>45807</v>
      </c>
      <c r="G154" s="5" t="n">
        <v>2220000</v>
      </c>
      <c r="H154" s="6" t="n">
        <v>4</v>
      </c>
      <c r="I154" s="6" t="n">
        <v>5</v>
      </c>
      <c r="J154" s="6" t="n">
        <v>5</v>
      </c>
      <c r="K154" s="6" t="n">
        <v>5</v>
      </c>
      <c r="L154" s="6" t="n">
        <v>5</v>
      </c>
      <c r="M154" s="6" t="n">
        <v>5</v>
      </c>
      <c r="N154" s="7" t="n">
        <f aca="false">AVERAGE(H154:M154)</f>
        <v>4.83333333333333</v>
      </c>
      <c r="O154" s="2" t="str">
        <f aca="false">IF(ROUND(N154,0)&lt;=1,"Deficiente",IF(ROUND(N154,0)=2,"Bajo",IF(ROUND(N154,0)=3,"Satisfactorio",IF(ROUND(N154,0)=4,"Bueno","Excelente"))))</f>
        <v>Excelente</v>
      </c>
      <c r="P154" s="8" t="n">
        <f aca="false">MAX(0,MIN(0.2,(N154-3)/2*0.2))</f>
        <v>0.183333333333333</v>
      </c>
      <c r="Q154" s="9" t="n">
        <f aca="false">G154*12*P154</f>
        <v>4884000</v>
      </c>
      <c r="R154" s="10" t="s">
        <v>117</v>
      </c>
      <c r="S154" s="2" t="s">
        <v>25</v>
      </c>
    </row>
    <row r="155" customFormat="false" ht="26.85" hidden="false" customHeight="false" outlineLevel="0" collapsed="false">
      <c r="A155" s="2" t="s">
        <v>366</v>
      </c>
      <c r="B155" s="3" t="s">
        <v>367</v>
      </c>
      <c r="C155" s="3" t="s">
        <v>365</v>
      </c>
      <c r="D155" s="3" t="s">
        <v>362</v>
      </c>
      <c r="E155" s="3" t="s">
        <v>361</v>
      </c>
      <c r="F155" s="4" t="n">
        <v>45897</v>
      </c>
      <c r="G155" s="5" t="n">
        <v>2340000</v>
      </c>
      <c r="H155" s="6" t="n">
        <v>4</v>
      </c>
      <c r="I155" s="6" t="n">
        <v>4</v>
      </c>
      <c r="J155" s="6" t="n">
        <v>4</v>
      </c>
      <c r="K155" s="6" t="n">
        <v>5</v>
      </c>
      <c r="L155" s="6" t="n">
        <v>4</v>
      </c>
      <c r="M155" s="6" t="n">
        <v>4</v>
      </c>
      <c r="N155" s="7" t="n">
        <f aca="false">AVERAGE(H155:M155)</f>
        <v>4.16666666666667</v>
      </c>
      <c r="O155" s="2" t="str">
        <f aca="false">IF(ROUND(N155,0)&lt;=1,"Deficiente",IF(ROUND(N155,0)=2,"Bajo",IF(ROUND(N155,0)=3,"Satisfactorio",IF(ROUND(N155,0)=4,"Bueno","Excelente"))))</f>
        <v>Bueno</v>
      </c>
      <c r="P155" s="8" t="n">
        <f aca="false">MAX(0,MIN(0.2,(N155-3)/2*0.2))</f>
        <v>0.116666666666667</v>
      </c>
      <c r="Q155" s="9" t="n">
        <f aca="false">G155*12*P155</f>
        <v>3276000</v>
      </c>
      <c r="R155" s="10" t="s">
        <v>60</v>
      </c>
      <c r="S155" s="2" t="s">
        <v>25</v>
      </c>
    </row>
    <row r="156" customFormat="false" ht="39.55" hidden="false" customHeight="false" outlineLevel="0" collapsed="false">
      <c r="A156" s="2" t="s">
        <v>368</v>
      </c>
      <c r="B156" s="3" t="s">
        <v>369</v>
      </c>
      <c r="C156" s="3" t="s">
        <v>365</v>
      </c>
      <c r="D156" s="3" t="s">
        <v>362</v>
      </c>
      <c r="E156" s="3" t="s">
        <v>361</v>
      </c>
      <c r="F156" s="4" t="n">
        <v>45805</v>
      </c>
      <c r="G156" s="5" t="n">
        <v>2390000</v>
      </c>
      <c r="H156" s="6" t="n">
        <v>5</v>
      </c>
      <c r="I156" s="6" t="n">
        <v>5</v>
      </c>
      <c r="J156" s="6" t="n">
        <v>5</v>
      </c>
      <c r="K156" s="6" t="n">
        <v>4</v>
      </c>
      <c r="L156" s="6" t="n">
        <v>5</v>
      </c>
      <c r="M156" s="6" t="n">
        <v>4</v>
      </c>
      <c r="N156" s="7" t="n">
        <f aca="false">AVERAGE(H156:M156)</f>
        <v>4.66666666666667</v>
      </c>
      <c r="O156" s="2" t="str">
        <f aca="false">IF(ROUND(N156,0)&lt;=1,"Deficiente",IF(ROUND(N156,0)=2,"Bajo",IF(ROUND(N156,0)=3,"Satisfactorio",IF(ROUND(N156,0)=4,"Bueno","Excelente"))))</f>
        <v>Excelente</v>
      </c>
      <c r="P156" s="8" t="n">
        <f aca="false">MAX(0,MIN(0.2,(N156-3)/2*0.2))</f>
        <v>0.166666666666667</v>
      </c>
      <c r="Q156" s="9" t="n">
        <f aca="false">G156*12*P156</f>
        <v>4780000</v>
      </c>
      <c r="R156" s="10" t="s">
        <v>67</v>
      </c>
      <c r="S156" s="2" t="s">
        <v>25</v>
      </c>
    </row>
    <row r="157" customFormat="false" ht="26.85" hidden="false" customHeight="false" outlineLevel="0" collapsed="false">
      <c r="A157" s="2" t="s">
        <v>370</v>
      </c>
      <c r="B157" s="3" t="s">
        <v>371</v>
      </c>
      <c r="C157" s="3" t="s">
        <v>365</v>
      </c>
      <c r="D157" s="3" t="s">
        <v>362</v>
      </c>
      <c r="E157" s="3" t="s">
        <v>361</v>
      </c>
      <c r="F157" s="4" t="n">
        <v>45887</v>
      </c>
      <c r="G157" s="5" t="n">
        <v>2310000</v>
      </c>
      <c r="H157" s="6" t="n">
        <v>3</v>
      </c>
      <c r="I157" s="6" t="n">
        <v>3</v>
      </c>
      <c r="J157" s="6" t="n">
        <v>2</v>
      </c>
      <c r="K157" s="6" t="n">
        <v>4</v>
      </c>
      <c r="L157" s="6" t="n">
        <v>3</v>
      </c>
      <c r="M157" s="6" t="n">
        <v>3</v>
      </c>
      <c r="N157" s="7" t="n">
        <f aca="false">AVERAGE(H157:M157)</f>
        <v>3</v>
      </c>
      <c r="O157" s="2" t="str">
        <f aca="false">IF(ROUND(N157,0)&lt;=1,"Deficiente",IF(ROUND(N157,0)=2,"Bajo",IF(ROUND(N157,0)=3,"Satisfactorio",IF(ROUND(N157,0)=4,"Bueno","Excelente"))))</f>
        <v>Satisfactorio</v>
      </c>
      <c r="P157" s="8" t="n">
        <f aca="false">MAX(0,MIN(0.2,(N157-3)/2*0.2))</f>
        <v>0</v>
      </c>
      <c r="Q157" s="9" t="n">
        <f aca="false">G157*12*P157</f>
        <v>0</v>
      </c>
      <c r="R157" s="10" t="s">
        <v>112</v>
      </c>
      <c r="S157" s="2" t="s">
        <v>51</v>
      </c>
    </row>
    <row r="158" customFormat="false" ht="26.85" hidden="false" customHeight="false" outlineLevel="0" collapsed="false">
      <c r="A158" s="2" t="s">
        <v>372</v>
      </c>
      <c r="B158" s="3" t="s">
        <v>373</v>
      </c>
      <c r="C158" s="3" t="s">
        <v>365</v>
      </c>
      <c r="D158" s="3" t="s">
        <v>362</v>
      </c>
      <c r="E158" s="3" t="s">
        <v>361</v>
      </c>
      <c r="F158" s="4" t="n">
        <v>45842</v>
      </c>
      <c r="G158" s="5" t="n">
        <v>1930000</v>
      </c>
      <c r="H158" s="6" t="n">
        <v>4</v>
      </c>
      <c r="I158" s="6" t="n">
        <v>5</v>
      </c>
      <c r="J158" s="6" t="n">
        <v>5</v>
      </c>
      <c r="K158" s="6" t="n">
        <v>5</v>
      </c>
      <c r="L158" s="6" t="n">
        <v>5</v>
      </c>
      <c r="M158" s="6" t="n">
        <v>5</v>
      </c>
      <c r="N158" s="7" t="n">
        <f aca="false">AVERAGE(H158:M158)</f>
        <v>4.83333333333333</v>
      </c>
      <c r="O158" s="2" t="str">
        <f aca="false">IF(ROUND(N158,0)&lt;=1,"Deficiente",IF(ROUND(N158,0)=2,"Bajo",IF(ROUND(N158,0)=3,"Satisfactorio",IF(ROUND(N158,0)=4,"Bueno","Excelente"))))</f>
        <v>Excelente</v>
      </c>
      <c r="P158" s="8" t="n">
        <f aca="false">MAX(0,MIN(0.2,(N158-3)/2*0.2))</f>
        <v>0.183333333333333</v>
      </c>
      <c r="Q158" s="9" t="n">
        <f aca="false">G158*12*P158</f>
        <v>4246000</v>
      </c>
      <c r="R158" s="10" t="s">
        <v>117</v>
      </c>
      <c r="S158" s="2" t="s">
        <v>31</v>
      </c>
    </row>
    <row r="159" customFormat="false" ht="26.85" hidden="false" customHeight="false" outlineLevel="0" collapsed="false">
      <c r="A159" s="2" t="s">
        <v>374</v>
      </c>
      <c r="B159" s="3" t="s">
        <v>375</v>
      </c>
      <c r="C159" s="3" t="s">
        <v>365</v>
      </c>
      <c r="D159" s="3" t="s">
        <v>362</v>
      </c>
      <c r="E159" s="3" t="s">
        <v>361</v>
      </c>
      <c r="F159" s="4" t="n">
        <v>45727</v>
      </c>
      <c r="G159" s="5" t="n">
        <v>2230000</v>
      </c>
      <c r="H159" s="6" t="n">
        <v>5</v>
      </c>
      <c r="I159" s="6" t="n">
        <v>4</v>
      </c>
      <c r="J159" s="6" t="n">
        <v>5</v>
      </c>
      <c r="K159" s="6" t="n">
        <v>5</v>
      </c>
      <c r="L159" s="6" t="n">
        <v>5</v>
      </c>
      <c r="M159" s="6" t="n">
        <v>5</v>
      </c>
      <c r="N159" s="7" t="n">
        <f aca="false">AVERAGE(H159:M159)</f>
        <v>4.83333333333333</v>
      </c>
      <c r="O159" s="2" t="str">
        <f aca="false">IF(ROUND(N159,0)&lt;=1,"Deficiente",IF(ROUND(N159,0)=2,"Bajo",IF(ROUND(N159,0)=3,"Satisfactorio",IF(ROUND(N159,0)=4,"Bueno","Excelente"))))</f>
        <v>Excelente</v>
      </c>
      <c r="P159" s="8" t="n">
        <f aca="false">MAX(0,MIN(0.2,(N159-3)/2*0.2))</f>
        <v>0.183333333333333</v>
      </c>
      <c r="Q159" s="9" t="n">
        <f aca="false">G159*12*P159</f>
        <v>4906000</v>
      </c>
      <c r="R159" s="10" t="s">
        <v>117</v>
      </c>
      <c r="S159" s="2" t="s">
        <v>25</v>
      </c>
    </row>
    <row r="160" customFormat="false" ht="26.85" hidden="false" customHeight="false" outlineLevel="0" collapsed="false">
      <c r="A160" s="2" t="s">
        <v>376</v>
      </c>
      <c r="B160" s="3" t="s">
        <v>377</v>
      </c>
      <c r="C160" s="3" t="s">
        <v>365</v>
      </c>
      <c r="D160" s="3" t="s">
        <v>362</v>
      </c>
      <c r="E160" s="3" t="s">
        <v>361</v>
      </c>
      <c r="F160" s="4" t="n">
        <v>45704</v>
      </c>
      <c r="G160" s="5" t="n">
        <v>1710000</v>
      </c>
      <c r="H160" s="6" t="n">
        <v>4</v>
      </c>
      <c r="I160" s="6" t="n">
        <v>5</v>
      </c>
      <c r="J160" s="6" t="n">
        <v>4</v>
      </c>
      <c r="K160" s="6" t="n">
        <v>4</v>
      </c>
      <c r="L160" s="6" t="n">
        <v>4</v>
      </c>
      <c r="M160" s="6" t="n">
        <v>4</v>
      </c>
      <c r="N160" s="7" t="n">
        <f aca="false">AVERAGE(H160:M160)</f>
        <v>4.16666666666667</v>
      </c>
      <c r="O160" s="2" t="str">
        <f aca="false">IF(ROUND(N160,0)&lt;=1,"Deficiente",IF(ROUND(N160,0)=2,"Bajo",IF(ROUND(N160,0)=3,"Satisfactorio",IF(ROUND(N160,0)=4,"Bueno","Excelente"))))</f>
        <v>Bueno</v>
      </c>
      <c r="P160" s="8" t="n">
        <f aca="false">MAX(0,MIN(0.2,(N160-3)/2*0.2))</f>
        <v>0.116666666666667</v>
      </c>
      <c r="Q160" s="9" t="n">
        <f aca="false">G160*12*P160</f>
        <v>2394000</v>
      </c>
      <c r="R160" s="10" t="s">
        <v>24</v>
      </c>
      <c r="S160" s="2" t="s">
        <v>31</v>
      </c>
    </row>
    <row r="161" customFormat="false" ht="26.85" hidden="false" customHeight="false" outlineLevel="0" collapsed="false">
      <c r="A161" s="2" t="s">
        <v>378</v>
      </c>
      <c r="B161" s="3" t="s">
        <v>379</v>
      </c>
      <c r="C161" s="3" t="s">
        <v>380</v>
      </c>
      <c r="D161" s="3" t="s">
        <v>381</v>
      </c>
      <c r="E161" s="3" t="s">
        <v>20</v>
      </c>
      <c r="F161" s="4" t="n">
        <v>45772</v>
      </c>
      <c r="G161" s="5" t="n">
        <v>8190000</v>
      </c>
      <c r="H161" s="6" t="n">
        <v>5</v>
      </c>
      <c r="I161" s="6" t="n">
        <v>3</v>
      </c>
      <c r="J161" s="6" t="n">
        <v>4</v>
      </c>
      <c r="K161" s="6" t="n">
        <v>4</v>
      </c>
      <c r="L161" s="6" t="n">
        <v>5</v>
      </c>
      <c r="M161" s="6" t="n">
        <v>4</v>
      </c>
      <c r="N161" s="7" t="n">
        <f aca="false">AVERAGE(H161:M161)</f>
        <v>4.16666666666667</v>
      </c>
      <c r="O161" s="2" t="str">
        <f aca="false">IF(ROUND(N161,0)&lt;=1,"Deficiente",IF(ROUND(N161,0)=2,"Bajo",IF(ROUND(N161,0)=3,"Satisfactorio",IF(ROUND(N161,0)=4,"Bueno","Excelente"))))</f>
        <v>Bueno</v>
      </c>
      <c r="P161" s="8" t="n">
        <f aca="false">MAX(0,MIN(0.2,(N161-3)/2*0.2))</f>
        <v>0.116666666666667</v>
      </c>
      <c r="Q161" s="9" t="n">
        <f aca="false">G161*12*P161</f>
        <v>11466000</v>
      </c>
      <c r="R161" s="10" t="s">
        <v>60</v>
      </c>
      <c r="S161" s="2" t="s">
        <v>25</v>
      </c>
    </row>
    <row r="162" customFormat="false" ht="26.85" hidden="false" customHeight="false" outlineLevel="0" collapsed="false">
      <c r="A162" s="2" t="s">
        <v>382</v>
      </c>
      <c r="B162" s="3" t="s">
        <v>383</v>
      </c>
      <c r="C162" s="3" t="s">
        <v>384</v>
      </c>
      <c r="D162" s="3" t="s">
        <v>381</v>
      </c>
      <c r="E162" s="3" t="s">
        <v>380</v>
      </c>
      <c r="F162" s="4" t="n">
        <v>45834</v>
      </c>
      <c r="G162" s="5" t="n">
        <v>4150000</v>
      </c>
      <c r="H162" s="6" t="n">
        <v>4</v>
      </c>
      <c r="I162" s="6" t="n">
        <v>4</v>
      </c>
      <c r="J162" s="6" t="n">
        <v>4</v>
      </c>
      <c r="K162" s="6" t="n">
        <v>4</v>
      </c>
      <c r="L162" s="6" t="n">
        <v>4</v>
      </c>
      <c r="M162" s="6" t="n">
        <v>4</v>
      </c>
      <c r="N162" s="7" t="n">
        <f aca="false">AVERAGE(H162:M162)</f>
        <v>4</v>
      </c>
      <c r="O162" s="2" t="str">
        <f aca="false">IF(ROUND(N162,0)&lt;=1,"Deficiente",IF(ROUND(N162,0)=2,"Bajo",IF(ROUND(N162,0)=3,"Satisfactorio",IF(ROUND(N162,0)=4,"Bueno","Excelente"))))</f>
        <v>Bueno</v>
      </c>
      <c r="P162" s="8" t="n">
        <f aca="false">MAX(0,MIN(0.2,(N162-3)/2*0.2))</f>
        <v>0.1</v>
      </c>
      <c r="Q162" s="9" t="n">
        <f aca="false">G162*12*P162</f>
        <v>4980000</v>
      </c>
      <c r="R162" s="10" t="s">
        <v>60</v>
      </c>
      <c r="S162" s="2" t="s">
        <v>31</v>
      </c>
    </row>
    <row r="163" customFormat="false" ht="39.55" hidden="false" customHeight="false" outlineLevel="0" collapsed="false">
      <c r="A163" s="2" t="s">
        <v>385</v>
      </c>
      <c r="B163" s="3" t="s">
        <v>386</v>
      </c>
      <c r="C163" s="3" t="s">
        <v>384</v>
      </c>
      <c r="D163" s="3" t="s">
        <v>381</v>
      </c>
      <c r="E163" s="3" t="s">
        <v>380</v>
      </c>
      <c r="F163" s="4" t="n">
        <v>45838</v>
      </c>
      <c r="G163" s="5" t="n">
        <v>3580000</v>
      </c>
      <c r="H163" s="6" t="n">
        <v>3</v>
      </c>
      <c r="I163" s="6" t="n">
        <v>3</v>
      </c>
      <c r="J163" s="6" t="n">
        <v>3</v>
      </c>
      <c r="K163" s="6" t="n">
        <v>3</v>
      </c>
      <c r="L163" s="6" t="n">
        <v>3</v>
      </c>
      <c r="M163" s="6" t="n">
        <v>2</v>
      </c>
      <c r="N163" s="7" t="n">
        <f aca="false">AVERAGE(H163:M163)</f>
        <v>2.83333333333333</v>
      </c>
      <c r="O163" s="2" t="str">
        <f aca="false">IF(ROUND(N163,0)&lt;=1,"Deficiente",IF(ROUND(N163,0)=2,"Bajo",IF(ROUND(N163,0)=3,"Satisfactorio",IF(ROUND(N163,0)=4,"Bueno","Excelente"))))</f>
        <v>Satisfactorio</v>
      </c>
      <c r="P163" s="8" t="n">
        <f aca="false">MAX(0,MIN(0.2,(N163-3)/2*0.2))</f>
        <v>0</v>
      </c>
      <c r="Q163" s="9" t="n">
        <f aca="false">G163*12*P163</f>
        <v>0</v>
      </c>
      <c r="R163" s="10" t="s">
        <v>45</v>
      </c>
      <c r="S163" s="2" t="s">
        <v>51</v>
      </c>
    </row>
    <row r="164" customFormat="false" ht="39.55" hidden="false" customHeight="false" outlineLevel="0" collapsed="false">
      <c r="A164" s="2" t="s">
        <v>387</v>
      </c>
      <c r="B164" s="3" t="s">
        <v>388</v>
      </c>
      <c r="C164" s="3" t="s">
        <v>389</v>
      </c>
      <c r="D164" s="3" t="s">
        <v>381</v>
      </c>
      <c r="E164" s="3" t="s">
        <v>383</v>
      </c>
      <c r="F164" s="4" t="n">
        <v>45804</v>
      </c>
      <c r="G164" s="5" t="n">
        <v>2480000</v>
      </c>
      <c r="H164" s="6" t="n">
        <v>4</v>
      </c>
      <c r="I164" s="6" t="n">
        <v>3</v>
      </c>
      <c r="J164" s="6" t="n">
        <v>4</v>
      </c>
      <c r="K164" s="6" t="n">
        <v>3</v>
      </c>
      <c r="L164" s="6" t="n">
        <v>3</v>
      </c>
      <c r="M164" s="6" t="n">
        <v>3</v>
      </c>
      <c r="N164" s="7" t="n">
        <f aca="false">AVERAGE(H164:M164)</f>
        <v>3.33333333333333</v>
      </c>
      <c r="O164" s="2" t="str">
        <f aca="false">IF(ROUND(N164,0)&lt;=1,"Deficiente",IF(ROUND(N164,0)=2,"Bajo",IF(ROUND(N164,0)=3,"Satisfactorio",IF(ROUND(N164,0)=4,"Bueno","Excelente"))))</f>
        <v>Satisfactorio</v>
      </c>
      <c r="P164" s="8" t="n">
        <f aca="false">MAX(0,MIN(0.2,(N164-3)/2*0.2))</f>
        <v>0.0333333333333334</v>
      </c>
      <c r="Q164" s="9" t="n">
        <f aca="false">G164*12*P164</f>
        <v>992000</v>
      </c>
      <c r="R164" s="10" t="s">
        <v>45</v>
      </c>
      <c r="S164" s="2" t="s">
        <v>51</v>
      </c>
    </row>
    <row r="165" customFormat="false" ht="39.55" hidden="false" customHeight="false" outlineLevel="0" collapsed="false">
      <c r="A165" s="2" t="s">
        <v>390</v>
      </c>
      <c r="B165" s="3" t="s">
        <v>391</v>
      </c>
      <c r="C165" s="3" t="s">
        <v>389</v>
      </c>
      <c r="D165" s="3" t="s">
        <v>381</v>
      </c>
      <c r="E165" s="3" t="s">
        <v>386</v>
      </c>
      <c r="F165" s="4" t="n">
        <v>45742</v>
      </c>
      <c r="G165" s="5" t="n">
        <v>1530000</v>
      </c>
      <c r="H165" s="6" t="n">
        <v>2</v>
      </c>
      <c r="I165" s="6" t="n">
        <v>3</v>
      </c>
      <c r="J165" s="6" t="n">
        <v>2</v>
      </c>
      <c r="K165" s="6" t="n">
        <v>2</v>
      </c>
      <c r="L165" s="6" t="n">
        <v>2</v>
      </c>
      <c r="M165" s="6" t="n">
        <v>2</v>
      </c>
      <c r="N165" s="7" t="n">
        <f aca="false">AVERAGE(H165:M165)</f>
        <v>2.16666666666667</v>
      </c>
      <c r="O165" s="2" t="str">
        <f aca="false">IF(ROUND(N165,0)&lt;=1,"Deficiente",IF(ROUND(N165,0)=2,"Bajo",IF(ROUND(N165,0)=3,"Satisfactorio",IF(ROUND(N165,0)=4,"Bueno","Excelente"))))</f>
        <v>Bajo</v>
      </c>
      <c r="P165" s="8" t="n">
        <f aca="false">MAX(0,MIN(0.2,(N165-3)/2*0.2))</f>
        <v>0</v>
      </c>
      <c r="Q165" s="9" t="n">
        <f aca="false">G165*12*P165</f>
        <v>0</v>
      </c>
      <c r="R165" s="10" t="s">
        <v>72</v>
      </c>
      <c r="S165" s="2" t="s">
        <v>51</v>
      </c>
    </row>
    <row r="166" customFormat="false" ht="39.55" hidden="false" customHeight="false" outlineLevel="0" collapsed="false">
      <c r="A166" s="2" t="s">
        <v>392</v>
      </c>
      <c r="B166" s="3" t="s">
        <v>393</v>
      </c>
      <c r="C166" s="3" t="s">
        <v>389</v>
      </c>
      <c r="D166" s="3" t="s">
        <v>381</v>
      </c>
      <c r="E166" s="3" t="s">
        <v>383</v>
      </c>
      <c r="F166" s="4" t="n">
        <v>45835</v>
      </c>
      <c r="G166" s="5" t="n">
        <v>2120000</v>
      </c>
      <c r="H166" s="6" t="n">
        <v>5</v>
      </c>
      <c r="I166" s="6" t="n">
        <v>5</v>
      </c>
      <c r="J166" s="6" t="n">
        <v>5</v>
      </c>
      <c r="K166" s="6" t="n">
        <v>5</v>
      </c>
      <c r="L166" s="6" t="n">
        <v>4</v>
      </c>
      <c r="M166" s="6" t="n">
        <v>5</v>
      </c>
      <c r="N166" s="7" t="n">
        <f aca="false">AVERAGE(H166:M166)</f>
        <v>4.83333333333333</v>
      </c>
      <c r="O166" s="2" t="str">
        <f aca="false">IF(ROUND(N166,0)&lt;=1,"Deficiente",IF(ROUND(N166,0)=2,"Bajo",IF(ROUND(N166,0)=3,"Satisfactorio",IF(ROUND(N166,0)=4,"Bueno","Excelente"))))</f>
        <v>Excelente</v>
      </c>
      <c r="P166" s="8" t="n">
        <f aca="false">MAX(0,MIN(0.2,(N166-3)/2*0.2))</f>
        <v>0.183333333333333</v>
      </c>
      <c r="Q166" s="9" t="n">
        <f aca="false">G166*12*P166</f>
        <v>4664000</v>
      </c>
      <c r="R166" s="10" t="s">
        <v>67</v>
      </c>
      <c r="S166" s="2" t="s">
        <v>31</v>
      </c>
    </row>
    <row r="167" customFormat="false" ht="26.85" hidden="false" customHeight="false" outlineLevel="0" collapsed="false">
      <c r="A167" s="2" t="s">
        <v>394</v>
      </c>
      <c r="B167" s="3" t="s">
        <v>395</v>
      </c>
      <c r="C167" s="3" t="s">
        <v>389</v>
      </c>
      <c r="D167" s="3" t="s">
        <v>381</v>
      </c>
      <c r="E167" s="3" t="s">
        <v>386</v>
      </c>
      <c r="F167" s="4" t="n">
        <v>45692</v>
      </c>
      <c r="G167" s="5" t="n">
        <v>2210000</v>
      </c>
      <c r="H167" s="6" t="n">
        <v>3</v>
      </c>
      <c r="I167" s="6" t="n">
        <v>4</v>
      </c>
      <c r="J167" s="6" t="n">
        <v>4</v>
      </c>
      <c r="K167" s="6" t="n">
        <v>4</v>
      </c>
      <c r="L167" s="6" t="n">
        <v>4</v>
      </c>
      <c r="M167" s="6" t="n">
        <v>5</v>
      </c>
      <c r="N167" s="7" t="n">
        <f aca="false">AVERAGE(H167:M167)</f>
        <v>4</v>
      </c>
      <c r="O167" s="2" t="str">
        <f aca="false">IF(ROUND(N167,0)&lt;=1,"Deficiente",IF(ROUND(N167,0)=2,"Bajo",IF(ROUND(N167,0)=3,"Satisfactorio",IF(ROUND(N167,0)=4,"Bueno","Excelente"))))</f>
        <v>Bueno</v>
      </c>
      <c r="P167" s="8" t="n">
        <f aca="false">MAX(0,MIN(0.2,(N167-3)/2*0.2))</f>
        <v>0.1</v>
      </c>
      <c r="Q167" s="9" t="n">
        <f aca="false">G167*12*P167</f>
        <v>2652000</v>
      </c>
      <c r="R167" s="10" t="s">
        <v>60</v>
      </c>
      <c r="S167" s="2" t="s">
        <v>31</v>
      </c>
    </row>
    <row r="168" customFormat="false" ht="26.85" hidden="false" customHeight="false" outlineLevel="0" collapsed="false">
      <c r="A168" s="2" t="s">
        <v>396</v>
      </c>
      <c r="B168" s="3" t="s">
        <v>397</v>
      </c>
      <c r="C168" s="3" t="s">
        <v>389</v>
      </c>
      <c r="D168" s="3" t="s">
        <v>381</v>
      </c>
      <c r="E168" s="3" t="s">
        <v>383</v>
      </c>
      <c r="F168" s="4" t="n">
        <v>45716</v>
      </c>
      <c r="G168" s="5" t="n">
        <v>2360000</v>
      </c>
      <c r="H168" s="6" t="n">
        <v>3</v>
      </c>
      <c r="I168" s="6" t="n">
        <v>3</v>
      </c>
      <c r="J168" s="6" t="n">
        <v>3</v>
      </c>
      <c r="K168" s="6" t="n">
        <v>3</v>
      </c>
      <c r="L168" s="6" t="n">
        <v>3</v>
      </c>
      <c r="M168" s="6" t="n">
        <v>3</v>
      </c>
      <c r="N168" s="7" t="n">
        <f aca="false">AVERAGE(H168:M168)</f>
        <v>3</v>
      </c>
      <c r="O168" s="2" t="str">
        <f aca="false">IF(ROUND(N168,0)&lt;=1,"Deficiente",IF(ROUND(N168,0)=2,"Bajo",IF(ROUND(N168,0)=3,"Satisfactorio",IF(ROUND(N168,0)=4,"Bueno","Excelente"))))</f>
        <v>Satisfactorio</v>
      </c>
      <c r="P168" s="8" t="n">
        <f aca="false">MAX(0,MIN(0.2,(N168-3)/2*0.2))</f>
        <v>0</v>
      </c>
      <c r="Q168" s="9" t="n">
        <f aca="false">G168*12*P168</f>
        <v>0</v>
      </c>
      <c r="R168" s="10" t="s">
        <v>50</v>
      </c>
      <c r="S168" s="2" t="s">
        <v>31</v>
      </c>
    </row>
    <row r="169" customFormat="false" ht="26.85" hidden="false" customHeight="false" outlineLevel="0" collapsed="false">
      <c r="A169" s="2" t="s">
        <v>398</v>
      </c>
      <c r="B169" s="3" t="s">
        <v>399</v>
      </c>
      <c r="C169" s="3" t="s">
        <v>389</v>
      </c>
      <c r="D169" s="3" t="s">
        <v>381</v>
      </c>
      <c r="E169" s="3" t="s">
        <v>386</v>
      </c>
      <c r="F169" s="4" t="n">
        <v>45710</v>
      </c>
      <c r="G169" s="5" t="n">
        <v>2350000</v>
      </c>
      <c r="H169" s="6" t="n">
        <v>3</v>
      </c>
      <c r="I169" s="6" t="n">
        <v>4</v>
      </c>
      <c r="J169" s="6" t="n">
        <v>3</v>
      </c>
      <c r="K169" s="6" t="n">
        <v>4</v>
      </c>
      <c r="L169" s="6" t="n">
        <v>4</v>
      </c>
      <c r="M169" s="6" t="n">
        <v>4</v>
      </c>
      <c r="N169" s="7" t="n">
        <f aca="false">AVERAGE(H169:M169)</f>
        <v>3.66666666666667</v>
      </c>
      <c r="O169" s="2" t="str">
        <f aca="false">IF(ROUND(N169,0)&lt;=1,"Deficiente",IF(ROUND(N169,0)=2,"Bajo",IF(ROUND(N169,0)=3,"Satisfactorio",IF(ROUND(N169,0)=4,"Bueno","Excelente"))))</f>
        <v>Bueno</v>
      </c>
      <c r="P169" s="8" t="n">
        <f aca="false">MAX(0,MIN(0.2,(N169-3)/2*0.2))</f>
        <v>0.0666666666666667</v>
      </c>
      <c r="Q169" s="9" t="n">
        <f aca="false">G169*12*P169</f>
        <v>1880000</v>
      </c>
      <c r="R169" s="10" t="s">
        <v>60</v>
      </c>
      <c r="S169" s="2" t="s">
        <v>31</v>
      </c>
    </row>
    <row r="170" customFormat="false" ht="26.85" hidden="false" customHeight="false" outlineLevel="0" collapsed="false">
      <c r="A170" s="2" t="s">
        <v>400</v>
      </c>
      <c r="B170" s="3" t="s">
        <v>401</v>
      </c>
      <c r="C170" s="3" t="s">
        <v>389</v>
      </c>
      <c r="D170" s="3" t="s">
        <v>381</v>
      </c>
      <c r="E170" s="3" t="s">
        <v>383</v>
      </c>
      <c r="F170" s="4" t="n">
        <v>45687</v>
      </c>
      <c r="G170" s="5" t="n">
        <v>2320000</v>
      </c>
      <c r="H170" s="6" t="n">
        <v>4</v>
      </c>
      <c r="I170" s="6" t="n">
        <v>4</v>
      </c>
      <c r="J170" s="6" t="n">
        <v>4</v>
      </c>
      <c r="K170" s="6" t="n">
        <v>4</v>
      </c>
      <c r="L170" s="6" t="n">
        <v>4</v>
      </c>
      <c r="M170" s="6" t="n">
        <v>4</v>
      </c>
      <c r="N170" s="7" t="n">
        <f aca="false">AVERAGE(H170:M170)</f>
        <v>4</v>
      </c>
      <c r="O170" s="2" t="str">
        <f aca="false">IF(ROUND(N170,0)&lt;=1,"Deficiente",IF(ROUND(N170,0)=2,"Bajo",IF(ROUND(N170,0)=3,"Satisfactorio",IF(ROUND(N170,0)=4,"Bueno","Excelente"))))</f>
        <v>Bueno</v>
      </c>
      <c r="P170" s="8" t="n">
        <f aca="false">MAX(0,MIN(0.2,(N170-3)/2*0.2))</f>
        <v>0.1</v>
      </c>
      <c r="Q170" s="9" t="n">
        <f aca="false">G170*12*P170</f>
        <v>2784000</v>
      </c>
      <c r="R170" s="10" t="s">
        <v>35</v>
      </c>
      <c r="S170" s="2" t="s">
        <v>31</v>
      </c>
    </row>
    <row r="171" customFormat="false" ht="26.85" hidden="false" customHeight="false" outlineLevel="0" collapsed="false">
      <c r="A171" s="2" t="s">
        <v>402</v>
      </c>
      <c r="B171" s="3" t="s">
        <v>403</v>
      </c>
      <c r="C171" s="3" t="s">
        <v>389</v>
      </c>
      <c r="D171" s="3" t="s">
        <v>381</v>
      </c>
      <c r="E171" s="3" t="s">
        <v>386</v>
      </c>
      <c r="F171" s="4" t="n">
        <v>45844</v>
      </c>
      <c r="G171" s="5" t="n">
        <v>1670000</v>
      </c>
      <c r="H171" s="6" t="n">
        <v>3</v>
      </c>
      <c r="I171" s="6" t="n">
        <v>3</v>
      </c>
      <c r="J171" s="6" t="n">
        <v>3</v>
      </c>
      <c r="K171" s="6" t="n">
        <v>4</v>
      </c>
      <c r="L171" s="6" t="n">
        <v>3</v>
      </c>
      <c r="M171" s="6" t="n">
        <v>3</v>
      </c>
      <c r="N171" s="7" t="n">
        <f aca="false">AVERAGE(H171:M171)</f>
        <v>3.16666666666667</v>
      </c>
      <c r="O171" s="2" t="str">
        <f aca="false">IF(ROUND(N171,0)&lt;=1,"Deficiente",IF(ROUND(N171,0)=2,"Bajo",IF(ROUND(N171,0)=3,"Satisfactorio",IF(ROUND(N171,0)=4,"Bueno","Excelente"))))</f>
        <v>Satisfactorio</v>
      </c>
      <c r="P171" s="8" t="n">
        <f aca="false">MAX(0,MIN(0.2,(N171-3)/2*0.2))</f>
        <v>0.0166666666666667</v>
      </c>
      <c r="Q171" s="9" t="n">
        <f aca="false">G171*12*P171</f>
        <v>334000</v>
      </c>
      <c r="R171" s="10" t="s">
        <v>50</v>
      </c>
      <c r="S171" s="2" t="s">
        <v>31</v>
      </c>
    </row>
    <row r="172" customFormat="false" ht="26.85" hidden="false" customHeight="false" outlineLevel="0" collapsed="false">
      <c r="A172" s="2" t="s">
        <v>404</v>
      </c>
      <c r="B172" s="3" t="s">
        <v>405</v>
      </c>
      <c r="C172" s="3" t="s">
        <v>389</v>
      </c>
      <c r="D172" s="3" t="s">
        <v>381</v>
      </c>
      <c r="E172" s="3" t="s">
        <v>383</v>
      </c>
      <c r="F172" s="4" t="n">
        <v>45768</v>
      </c>
      <c r="G172" s="5" t="n">
        <v>2220000</v>
      </c>
      <c r="H172" s="6" t="n">
        <v>4</v>
      </c>
      <c r="I172" s="6" t="n">
        <v>4</v>
      </c>
      <c r="J172" s="6" t="n">
        <v>4</v>
      </c>
      <c r="K172" s="6" t="n">
        <v>4</v>
      </c>
      <c r="L172" s="6" t="n">
        <v>4</v>
      </c>
      <c r="M172" s="6" t="n">
        <v>4</v>
      </c>
      <c r="N172" s="7" t="n">
        <f aca="false">AVERAGE(H172:M172)</f>
        <v>4</v>
      </c>
      <c r="O172" s="2" t="str">
        <f aca="false">IF(ROUND(N172,0)&lt;=1,"Deficiente",IF(ROUND(N172,0)=2,"Bajo",IF(ROUND(N172,0)=3,"Satisfactorio",IF(ROUND(N172,0)=4,"Bueno","Excelente"))))</f>
        <v>Bueno</v>
      </c>
      <c r="P172" s="8" t="n">
        <f aca="false">MAX(0,MIN(0.2,(N172-3)/2*0.2))</f>
        <v>0.1</v>
      </c>
      <c r="Q172" s="9" t="n">
        <f aca="false">G172*12*P172</f>
        <v>2664000</v>
      </c>
      <c r="R172" s="10" t="s">
        <v>35</v>
      </c>
      <c r="S172" s="2" t="s">
        <v>31</v>
      </c>
    </row>
    <row r="173" customFormat="false" ht="39.55" hidden="false" customHeight="false" outlineLevel="0" collapsed="false">
      <c r="A173" s="2" t="s">
        <v>406</v>
      </c>
      <c r="B173" s="3" t="s">
        <v>407</v>
      </c>
      <c r="C173" s="3" t="s">
        <v>408</v>
      </c>
      <c r="D173" s="3" t="s">
        <v>409</v>
      </c>
      <c r="E173" s="3" t="s">
        <v>20</v>
      </c>
      <c r="F173" s="4" t="n">
        <v>45663</v>
      </c>
      <c r="G173" s="5" t="n">
        <v>7410000</v>
      </c>
      <c r="H173" s="6" t="n">
        <v>5</v>
      </c>
      <c r="I173" s="6" t="n">
        <v>5</v>
      </c>
      <c r="J173" s="6" t="n">
        <v>4</v>
      </c>
      <c r="K173" s="6" t="n">
        <v>5</v>
      </c>
      <c r="L173" s="6" t="n">
        <v>4</v>
      </c>
      <c r="M173" s="6" t="n">
        <v>4</v>
      </c>
      <c r="N173" s="7" t="n">
        <f aca="false">AVERAGE(H173:M173)</f>
        <v>4.5</v>
      </c>
      <c r="O173" s="2" t="str">
        <f aca="false">IF(ROUND(N173,0)&lt;=1,"Deficiente",IF(ROUND(N173,0)=2,"Bajo",IF(ROUND(N173,0)=3,"Satisfactorio",IF(ROUND(N173,0)=4,"Bueno","Excelente"))))</f>
        <v>Excelente</v>
      </c>
      <c r="P173" s="8" t="n">
        <f aca="false">MAX(0,MIN(0.2,(N173-3)/2*0.2))</f>
        <v>0.15</v>
      </c>
      <c r="Q173" s="9" t="n">
        <f aca="false">G173*12*P173</f>
        <v>13338000</v>
      </c>
      <c r="R173" s="10" t="s">
        <v>67</v>
      </c>
      <c r="S173" s="2" t="s">
        <v>31</v>
      </c>
    </row>
    <row r="174" customFormat="false" ht="39.55" hidden="false" customHeight="false" outlineLevel="0" collapsed="false">
      <c r="A174" s="2" t="s">
        <v>410</v>
      </c>
      <c r="B174" s="3" t="s">
        <v>411</v>
      </c>
      <c r="C174" s="3" t="s">
        <v>412</v>
      </c>
      <c r="D174" s="3" t="s">
        <v>409</v>
      </c>
      <c r="E174" s="3" t="s">
        <v>408</v>
      </c>
      <c r="F174" s="4" t="n">
        <v>45673</v>
      </c>
      <c r="G174" s="5" t="n">
        <v>1620000</v>
      </c>
      <c r="H174" s="6" t="n">
        <v>1</v>
      </c>
      <c r="I174" s="6" t="n">
        <v>2</v>
      </c>
      <c r="J174" s="6" t="n">
        <v>1</v>
      </c>
      <c r="K174" s="6" t="n">
        <v>2</v>
      </c>
      <c r="L174" s="6" t="n">
        <v>2</v>
      </c>
      <c r="M174" s="6" t="n">
        <v>1</v>
      </c>
      <c r="N174" s="7" t="n">
        <f aca="false">AVERAGE(H174:M174)</f>
        <v>1.5</v>
      </c>
      <c r="O174" s="2" t="str">
        <f aca="false">IF(ROUND(N174,0)&lt;=1,"Deficiente",IF(ROUND(N174,0)=2,"Bajo",IF(ROUND(N174,0)=3,"Satisfactorio",IF(ROUND(N174,0)=4,"Bueno","Excelente"))))</f>
        <v>Bajo</v>
      </c>
      <c r="P174" s="8" t="n">
        <f aca="false">MAX(0,MIN(0.2,(N174-3)/2*0.2))</f>
        <v>0</v>
      </c>
      <c r="Q174" s="9" t="n">
        <f aca="false">G174*12*P174</f>
        <v>0</v>
      </c>
      <c r="R174" s="10" t="s">
        <v>56</v>
      </c>
      <c r="S174" s="2" t="s">
        <v>57</v>
      </c>
    </row>
    <row r="175" customFormat="false" ht="26.85" hidden="false" customHeight="false" outlineLevel="0" collapsed="false">
      <c r="A175" s="2" t="s">
        <v>413</v>
      </c>
      <c r="B175" s="3" t="s">
        <v>414</v>
      </c>
      <c r="C175" s="3" t="s">
        <v>412</v>
      </c>
      <c r="D175" s="3" t="s">
        <v>409</v>
      </c>
      <c r="E175" s="3" t="s">
        <v>408</v>
      </c>
      <c r="F175" s="4" t="n">
        <v>45683</v>
      </c>
      <c r="G175" s="5" t="n">
        <v>2170000</v>
      </c>
      <c r="H175" s="6" t="n">
        <v>3</v>
      </c>
      <c r="I175" s="6" t="n">
        <v>4</v>
      </c>
      <c r="J175" s="6" t="n">
        <v>3</v>
      </c>
      <c r="K175" s="6" t="n">
        <v>3</v>
      </c>
      <c r="L175" s="6" t="n">
        <v>3</v>
      </c>
      <c r="M175" s="6" t="n">
        <v>3</v>
      </c>
      <c r="N175" s="7" t="n">
        <f aca="false">AVERAGE(H175:M175)</f>
        <v>3.16666666666667</v>
      </c>
      <c r="O175" s="2" t="str">
        <f aca="false">IF(ROUND(N175,0)&lt;=1,"Deficiente",IF(ROUND(N175,0)=2,"Bajo",IF(ROUND(N175,0)=3,"Satisfactorio",IF(ROUND(N175,0)=4,"Bueno","Excelente"))))</f>
        <v>Satisfactorio</v>
      </c>
      <c r="P175" s="8" t="n">
        <f aca="false">MAX(0,MIN(0.2,(N175-3)/2*0.2))</f>
        <v>0.0166666666666667</v>
      </c>
      <c r="Q175" s="9" t="n">
        <f aca="false">G175*12*P175</f>
        <v>434000</v>
      </c>
      <c r="R175" s="10" t="s">
        <v>112</v>
      </c>
      <c r="S175" s="2" t="s">
        <v>31</v>
      </c>
    </row>
    <row r="176" customFormat="false" ht="39.55" hidden="false" customHeight="false" outlineLevel="0" collapsed="false">
      <c r="A176" s="2" t="s">
        <v>415</v>
      </c>
      <c r="B176" s="3" t="s">
        <v>416</v>
      </c>
      <c r="C176" s="3" t="s">
        <v>412</v>
      </c>
      <c r="D176" s="3" t="s">
        <v>409</v>
      </c>
      <c r="E176" s="3" t="s">
        <v>408</v>
      </c>
      <c r="F176" s="4" t="n">
        <v>45750</v>
      </c>
      <c r="G176" s="5" t="n">
        <v>2190000</v>
      </c>
      <c r="H176" s="6" t="n">
        <v>4</v>
      </c>
      <c r="I176" s="6" t="n">
        <v>3</v>
      </c>
      <c r="J176" s="6" t="n">
        <v>3</v>
      </c>
      <c r="K176" s="6" t="n">
        <v>3</v>
      </c>
      <c r="L176" s="6" t="n">
        <v>3</v>
      </c>
      <c r="M176" s="6" t="n">
        <v>3</v>
      </c>
      <c r="N176" s="7" t="n">
        <f aca="false">AVERAGE(H176:M176)</f>
        <v>3.16666666666667</v>
      </c>
      <c r="O176" s="2" t="str">
        <f aca="false">IF(ROUND(N176,0)&lt;=1,"Deficiente",IF(ROUND(N176,0)=2,"Bajo",IF(ROUND(N176,0)=3,"Satisfactorio",IF(ROUND(N176,0)=4,"Bueno","Excelente"))))</f>
        <v>Satisfactorio</v>
      </c>
      <c r="P176" s="8" t="n">
        <f aca="false">MAX(0,MIN(0.2,(N176-3)/2*0.2))</f>
        <v>0.0166666666666667</v>
      </c>
      <c r="Q176" s="9" t="n">
        <f aca="false">G176*12*P176</f>
        <v>438000</v>
      </c>
      <c r="R176" s="10" t="s">
        <v>45</v>
      </c>
      <c r="S176" s="2" t="s">
        <v>31</v>
      </c>
    </row>
    <row r="177" customFormat="false" ht="26.85" hidden="false" customHeight="false" outlineLevel="0" collapsed="false">
      <c r="A177" s="2" t="s">
        <v>417</v>
      </c>
      <c r="B177" s="3" t="s">
        <v>418</v>
      </c>
      <c r="C177" s="3" t="s">
        <v>412</v>
      </c>
      <c r="D177" s="3" t="s">
        <v>409</v>
      </c>
      <c r="E177" s="3" t="s">
        <v>408</v>
      </c>
      <c r="F177" s="4" t="n">
        <v>45663</v>
      </c>
      <c r="G177" s="5" t="n">
        <v>2020000</v>
      </c>
      <c r="H177" s="6" t="n">
        <v>3</v>
      </c>
      <c r="I177" s="6" t="n">
        <v>3</v>
      </c>
      <c r="J177" s="6" t="n">
        <v>3</v>
      </c>
      <c r="K177" s="6" t="n">
        <v>3</v>
      </c>
      <c r="L177" s="6" t="n">
        <v>4</v>
      </c>
      <c r="M177" s="6" t="n">
        <v>3</v>
      </c>
      <c r="N177" s="7" t="n">
        <f aca="false">AVERAGE(H177:M177)</f>
        <v>3.16666666666667</v>
      </c>
      <c r="O177" s="2" t="str">
        <f aca="false">IF(ROUND(N177,0)&lt;=1,"Deficiente",IF(ROUND(N177,0)=2,"Bajo",IF(ROUND(N177,0)=3,"Satisfactorio",IF(ROUND(N177,0)=4,"Bueno","Excelente"))))</f>
        <v>Satisfactorio</v>
      </c>
      <c r="P177" s="8" t="n">
        <f aca="false">MAX(0,MIN(0.2,(N177-3)/2*0.2))</f>
        <v>0.0166666666666667</v>
      </c>
      <c r="Q177" s="9" t="n">
        <f aca="false">G177*12*P177</f>
        <v>404000</v>
      </c>
      <c r="R177" s="10" t="s">
        <v>112</v>
      </c>
      <c r="S177" s="2" t="s">
        <v>31</v>
      </c>
    </row>
    <row r="178" customFormat="false" ht="26.85" hidden="false" customHeight="false" outlineLevel="0" collapsed="false">
      <c r="A178" s="2" t="s">
        <v>419</v>
      </c>
      <c r="B178" s="3" t="s">
        <v>420</v>
      </c>
      <c r="C178" s="3" t="s">
        <v>412</v>
      </c>
      <c r="D178" s="3" t="s">
        <v>409</v>
      </c>
      <c r="E178" s="3" t="s">
        <v>408</v>
      </c>
      <c r="F178" s="4" t="n">
        <v>45820</v>
      </c>
      <c r="G178" s="5" t="n">
        <v>2400000</v>
      </c>
      <c r="H178" s="6" t="n">
        <v>1</v>
      </c>
      <c r="I178" s="6" t="n">
        <v>1</v>
      </c>
      <c r="J178" s="6" t="n">
        <v>2</v>
      </c>
      <c r="K178" s="6" t="n">
        <v>1</v>
      </c>
      <c r="L178" s="6" t="n">
        <v>2</v>
      </c>
      <c r="M178" s="6" t="n">
        <v>1</v>
      </c>
      <c r="N178" s="7" t="n">
        <f aca="false">AVERAGE(H178:M178)</f>
        <v>1.33333333333333</v>
      </c>
      <c r="O178" s="2" t="str">
        <f aca="false">IF(ROUND(N178,0)&lt;=1,"Deficiente",IF(ROUND(N178,0)=2,"Bajo",IF(ROUND(N178,0)=3,"Satisfactorio",IF(ROUND(N178,0)=4,"Bueno","Excelente"))))</f>
        <v>Deficiente</v>
      </c>
      <c r="P178" s="8" t="n">
        <f aca="false">MAX(0,MIN(0.2,(N178-3)/2*0.2))</f>
        <v>0</v>
      </c>
      <c r="Q178" s="9" t="n">
        <f aca="false">G178*12*P178</f>
        <v>0</v>
      </c>
      <c r="R178" s="10" t="s">
        <v>85</v>
      </c>
      <c r="S178" s="2" t="s">
        <v>51</v>
      </c>
    </row>
    <row r="179" customFormat="false" ht="39.55" hidden="false" customHeight="false" outlineLevel="0" collapsed="false">
      <c r="A179" s="2" t="s">
        <v>421</v>
      </c>
      <c r="B179" s="3" t="s">
        <v>422</v>
      </c>
      <c r="C179" s="3" t="s">
        <v>423</v>
      </c>
      <c r="D179" s="3" t="s">
        <v>424</v>
      </c>
      <c r="E179" s="3" t="s">
        <v>20</v>
      </c>
      <c r="F179" s="4" t="n">
        <v>45688</v>
      </c>
      <c r="G179" s="5" t="n">
        <v>8090000</v>
      </c>
      <c r="H179" s="6" t="n">
        <v>5</v>
      </c>
      <c r="I179" s="6" t="n">
        <v>5</v>
      </c>
      <c r="J179" s="6" t="n">
        <v>5</v>
      </c>
      <c r="K179" s="6" t="n">
        <v>5</v>
      </c>
      <c r="L179" s="6" t="n">
        <v>5</v>
      </c>
      <c r="M179" s="6" t="n">
        <v>4</v>
      </c>
      <c r="N179" s="7" t="n">
        <f aca="false">AVERAGE(H179:M179)</f>
        <v>4.83333333333333</v>
      </c>
      <c r="O179" s="2" t="str">
        <f aca="false">IF(ROUND(N179,0)&lt;=1,"Deficiente",IF(ROUND(N179,0)=2,"Bajo",IF(ROUND(N179,0)=3,"Satisfactorio",IF(ROUND(N179,0)=4,"Bueno","Excelente"))))</f>
        <v>Excelente</v>
      </c>
      <c r="P179" s="8" t="n">
        <f aca="false">MAX(0,MIN(0.2,(N179-3)/2*0.2))</f>
        <v>0.183333333333333</v>
      </c>
      <c r="Q179" s="9" t="n">
        <f aca="false">G179*12*P179</f>
        <v>17798000</v>
      </c>
      <c r="R179" s="10" t="s">
        <v>67</v>
      </c>
      <c r="S179" s="2" t="s">
        <v>25</v>
      </c>
    </row>
    <row r="180" customFormat="false" ht="26.85" hidden="false" customHeight="false" outlineLevel="0" collapsed="false">
      <c r="A180" s="2" t="s">
        <v>425</v>
      </c>
      <c r="B180" s="3" t="s">
        <v>426</v>
      </c>
      <c r="C180" s="3" t="s">
        <v>427</v>
      </c>
      <c r="D180" s="3" t="s">
        <v>424</v>
      </c>
      <c r="E180" s="3" t="s">
        <v>423</v>
      </c>
      <c r="F180" s="4" t="n">
        <v>45890</v>
      </c>
      <c r="G180" s="5" t="n">
        <v>1690000</v>
      </c>
      <c r="H180" s="6" t="n">
        <v>5</v>
      </c>
      <c r="I180" s="6" t="n">
        <v>5</v>
      </c>
      <c r="J180" s="6" t="n">
        <v>5</v>
      </c>
      <c r="K180" s="6" t="n">
        <v>4</v>
      </c>
      <c r="L180" s="6" t="n">
        <v>5</v>
      </c>
      <c r="M180" s="6" t="n">
        <v>4</v>
      </c>
      <c r="N180" s="7" t="n">
        <f aca="false">AVERAGE(H180:M180)</f>
        <v>4.66666666666667</v>
      </c>
      <c r="O180" s="2" t="str">
        <f aca="false">IF(ROUND(N180,0)&lt;=1,"Deficiente",IF(ROUND(N180,0)=2,"Bajo",IF(ROUND(N180,0)=3,"Satisfactorio",IF(ROUND(N180,0)=4,"Bueno","Excelente"))))</f>
        <v>Excelente</v>
      </c>
      <c r="P180" s="8" t="n">
        <f aca="false">MAX(0,MIN(0.2,(N180-3)/2*0.2))</f>
        <v>0.166666666666667</v>
      </c>
      <c r="Q180" s="9" t="n">
        <f aca="false">G180*12*P180</f>
        <v>3380000</v>
      </c>
      <c r="R180" s="10" t="s">
        <v>30</v>
      </c>
      <c r="S180" s="2" t="s">
        <v>25</v>
      </c>
    </row>
    <row r="181" customFormat="false" ht="39.55" hidden="false" customHeight="false" outlineLevel="0" collapsed="false">
      <c r="A181" s="2" t="s">
        <v>428</v>
      </c>
      <c r="B181" s="3" t="s">
        <v>429</v>
      </c>
      <c r="C181" s="3" t="s">
        <v>427</v>
      </c>
      <c r="D181" s="3" t="s">
        <v>424</v>
      </c>
      <c r="E181" s="3" t="s">
        <v>423</v>
      </c>
      <c r="F181" s="4" t="n">
        <v>45825</v>
      </c>
      <c r="G181" s="5" t="n">
        <v>1890000</v>
      </c>
      <c r="H181" s="6" t="n">
        <v>1</v>
      </c>
      <c r="I181" s="6" t="n">
        <v>1</v>
      </c>
      <c r="J181" s="6" t="n">
        <v>1</v>
      </c>
      <c r="K181" s="6" t="n">
        <v>1</v>
      </c>
      <c r="L181" s="6" t="n">
        <v>1</v>
      </c>
      <c r="M181" s="6" t="n">
        <v>1</v>
      </c>
      <c r="N181" s="7" t="n">
        <f aca="false">AVERAGE(H181:M181)</f>
        <v>1</v>
      </c>
      <c r="O181" s="2" t="str">
        <f aca="false">IF(ROUND(N181,0)&lt;=1,"Deficiente",IF(ROUND(N181,0)=2,"Bajo",IF(ROUND(N181,0)=3,"Satisfactorio",IF(ROUND(N181,0)=4,"Bueno","Excelente"))))</f>
        <v>Deficiente</v>
      </c>
      <c r="P181" s="8" t="n">
        <f aca="false">MAX(0,MIN(0.2,(N181-3)/2*0.2))</f>
        <v>0</v>
      </c>
      <c r="Q181" s="9" t="n">
        <f aca="false">G181*12*P181</f>
        <v>0</v>
      </c>
      <c r="R181" s="10" t="s">
        <v>56</v>
      </c>
      <c r="S181" s="2" t="s">
        <v>51</v>
      </c>
    </row>
    <row r="182" customFormat="false" ht="26.85" hidden="false" customHeight="false" outlineLevel="0" collapsed="false">
      <c r="A182" s="2" t="s">
        <v>430</v>
      </c>
      <c r="B182" s="3" t="s">
        <v>431</v>
      </c>
      <c r="C182" s="3" t="s">
        <v>427</v>
      </c>
      <c r="D182" s="3" t="s">
        <v>424</v>
      </c>
      <c r="E182" s="3" t="s">
        <v>423</v>
      </c>
      <c r="F182" s="4" t="n">
        <v>45739</v>
      </c>
      <c r="G182" s="5" t="n">
        <v>2440000</v>
      </c>
      <c r="H182" s="6" t="n">
        <v>4</v>
      </c>
      <c r="I182" s="6" t="n">
        <v>5</v>
      </c>
      <c r="J182" s="6" t="n">
        <v>4</v>
      </c>
      <c r="K182" s="6" t="n">
        <v>4</v>
      </c>
      <c r="L182" s="6" t="n">
        <v>4</v>
      </c>
      <c r="M182" s="6" t="n">
        <v>5</v>
      </c>
      <c r="N182" s="7" t="n">
        <f aca="false">AVERAGE(H182:M182)</f>
        <v>4.33333333333333</v>
      </c>
      <c r="O182" s="2" t="str">
        <f aca="false">IF(ROUND(N182,0)&lt;=1,"Deficiente",IF(ROUND(N182,0)=2,"Bajo",IF(ROUND(N182,0)=3,"Satisfactorio",IF(ROUND(N182,0)=4,"Bueno","Excelente"))))</f>
        <v>Bueno</v>
      </c>
      <c r="P182" s="8" t="n">
        <f aca="false">MAX(0,MIN(0.2,(N182-3)/2*0.2))</f>
        <v>0.133333333333333</v>
      </c>
      <c r="Q182" s="9" t="n">
        <f aca="false">G182*12*P182</f>
        <v>3904000</v>
      </c>
      <c r="R182" s="10" t="s">
        <v>60</v>
      </c>
      <c r="S182" s="2" t="s">
        <v>25</v>
      </c>
    </row>
    <row r="183" customFormat="false" ht="26.85" hidden="false" customHeight="false" outlineLevel="0" collapsed="false">
      <c r="A183" s="2" t="s">
        <v>432</v>
      </c>
      <c r="B183" s="3" t="s">
        <v>433</v>
      </c>
      <c r="C183" s="3" t="s">
        <v>427</v>
      </c>
      <c r="D183" s="3" t="s">
        <v>424</v>
      </c>
      <c r="E183" s="3" t="s">
        <v>423</v>
      </c>
      <c r="F183" s="4" t="n">
        <v>45830</v>
      </c>
      <c r="G183" s="5" t="n">
        <v>2180000</v>
      </c>
      <c r="H183" s="6" t="n">
        <v>4</v>
      </c>
      <c r="I183" s="6" t="n">
        <v>4</v>
      </c>
      <c r="J183" s="6" t="n">
        <v>4</v>
      </c>
      <c r="K183" s="6" t="n">
        <v>4</v>
      </c>
      <c r="L183" s="6" t="n">
        <v>4</v>
      </c>
      <c r="M183" s="6" t="n">
        <v>4</v>
      </c>
      <c r="N183" s="7" t="n">
        <f aca="false">AVERAGE(H183:M183)</f>
        <v>4</v>
      </c>
      <c r="O183" s="2" t="str">
        <f aca="false">IF(ROUND(N183,0)&lt;=1,"Deficiente",IF(ROUND(N183,0)=2,"Bajo",IF(ROUND(N183,0)=3,"Satisfactorio",IF(ROUND(N183,0)=4,"Bueno","Excelente"))))</f>
        <v>Bueno</v>
      </c>
      <c r="P183" s="8" t="n">
        <f aca="false">MAX(0,MIN(0.2,(N183-3)/2*0.2))</f>
        <v>0.1</v>
      </c>
      <c r="Q183" s="9" t="n">
        <f aca="false">G183*12*P183</f>
        <v>2616000</v>
      </c>
      <c r="R183" s="10" t="s">
        <v>60</v>
      </c>
      <c r="S183" s="2" t="s">
        <v>31</v>
      </c>
    </row>
    <row r="184" customFormat="false" ht="26.85" hidden="false" customHeight="false" outlineLevel="0" collapsed="false">
      <c r="A184" s="2" t="s">
        <v>434</v>
      </c>
      <c r="B184" s="3" t="s">
        <v>435</v>
      </c>
      <c r="C184" s="3" t="s">
        <v>427</v>
      </c>
      <c r="D184" s="3" t="s">
        <v>424</v>
      </c>
      <c r="E184" s="3" t="s">
        <v>423</v>
      </c>
      <c r="F184" s="4" t="n">
        <v>45749</v>
      </c>
      <c r="G184" s="5" t="n">
        <v>1840000</v>
      </c>
      <c r="H184" s="6" t="n">
        <v>4</v>
      </c>
      <c r="I184" s="6" t="n">
        <v>4</v>
      </c>
      <c r="J184" s="6" t="n">
        <v>4</v>
      </c>
      <c r="K184" s="6" t="n">
        <v>3</v>
      </c>
      <c r="L184" s="6" t="n">
        <v>4</v>
      </c>
      <c r="M184" s="6" t="n">
        <v>3</v>
      </c>
      <c r="N184" s="7" t="n">
        <f aca="false">AVERAGE(H184:M184)</f>
        <v>3.66666666666667</v>
      </c>
      <c r="O184" s="2" t="str">
        <f aca="false">IF(ROUND(N184,0)&lt;=1,"Deficiente",IF(ROUND(N184,0)=2,"Bajo",IF(ROUND(N184,0)=3,"Satisfactorio",IF(ROUND(N184,0)=4,"Bueno","Excelente"))))</f>
        <v>Bueno</v>
      </c>
      <c r="P184" s="8" t="n">
        <f aca="false">MAX(0,MIN(0.2,(N184-3)/2*0.2))</f>
        <v>0.0666666666666667</v>
      </c>
      <c r="Q184" s="9" t="n">
        <f aca="false">G184*12*P184</f>
        <v>1472000</v>
      </c>
      <c r="R184" s="10" t="s">
        <v>35</v>
      </c>
      <c r="S184" s="2" t="s">
        <v>31</v>
      </c>
    </row>
    <row r="185" customFormat="false" ht="26.85" hidden="false" customHeight="false" outlineLevel="0" collapsed="false">
      <c r="A185" s="2" t="s">
        <v>436</v>
      </c>
      <c r="B185" s="3" t="s">
        <v>437</v>
      </c>
      <c r="C185" s="3" t="s">
        <v>438</v>
      </c>
      <c r="D185" s="3" t="s">
        <v>439</v>
      </c>
      <c r="E185" s="3" t="s">
        <v>20</v>
      </c>
      <c r="F185" s="4" t="n">
        <v>45772</v>
      </c>
      <c r="G185" s="5" t="n">
        <v>8600000</v>
      </c>
      <c r="H185" s="6" t="n">
        <v>4</v>
      </c>
      <c r="I185" s="6" t="n">
        <v>5</v>
      </c>
      <c r="J185" s="6" t="n">
        <v>5</v>
      </c>
      <c r="K185" s="6" t="n">
        <v>4</v>
      </c>
      <c r="L185" s="6" t="n">
        <v>5</v>
      </c>
      <c r="M185" s="6" t="n">
        <v>5</v>
      </c>
      <c r="N185" s="7" t="n">
        <f aca="false">AVERAGE(H185:M185)</f>
        <v>4.66666666666667</v>
      </c>
      <c r="O185" s="2" t="str">
        <f aca="false">IF(ROUND(N185,0)&lt;=1,"Deficiente",IF(ROUND(N185,0)=2,"Bajo",IF(ROUND(N185,0)=3,"Satisfactorio",IF(ROUND(N185,0)=4,"Bueno","Excelente"))))</f>
        <v>Excelente</v>
      </c>
      <c r="P185" s="8" t="n">
        <f aca="false">MAX(0,MIN(0.2,(N185-3)/2*0.2))</f>
        <v>0.166666666666667</v>
      </c>
      <c r="Q185" s="9" t="n">
        <f aca="false">G185*12*P185</f>
        <v>17200000</v>
      </c>
      <c r="R185" s="10" t="s">
        <v>30</v>
      </c>
      <c r="S185" s="2" t="s">
        <v>25</v>
      </c>
    </row>
    <row r="186" customFormat="false" ht="26.85" hidden="false" customHeight="false" outlineLevel="0" collapsed="false">
      <c r="A186" s="2" t="s">
        <v>440</v>
      </c>
      <c r="B186" s="3" t="s">
        <v>441</v>
      </c>
      <c r="C186" s="3" t="s">
        <v>442</v>
      </c>
      <c r="D186" s="3" t="s">
        <v>439</v>
      </c>
      <c r="E186" s="3" t="s">
        <v>438</v>
      </c>
      <c r="F186" s="4" t="n">
        <v>45846</v>
      </c>
      <c r="G186" s="5" t="n">
        <v>1980000</v>
      </c>
      <c r="H186" s="6" t="n">
        <v>4</v>
      </c>
      <c r="I186" s="6" t="n">
        <v>4</v>
      </c>
      <c r="J186" s="6" t="n">
        <v>5</v>
      </c>
      <c r="K186" s="6" t="n">
        <v>3</v>
      </c>
      <c r="L186" s="6" t="n">
        <v>4</v>
      </c>
      <c r="M186" s="6" t="n">
        <v>4</v>
      </c>
      <c r="N186" s="7" t="n">
        <f aca="false">AVERAGE(H186:M186)</f>
        <v>4</v>
      </c>
      <c r="O186" s="2" t="str">
        <f aca="false">IF(ROUND(N186,0)&lt;=1,"Deficiente",IF(ROUND(N186,0)=2,"Bajo",IF(ROUND(N186,0)=3,"Satisfactorio",IF(ROUND(N186,0)=4,"Bueno","Excelente"))))</f>
        <v>Bueno</v>
      </c>
      <c r="P186" s="8" t="n">
        <f aca="false">MAX(0,MIN(0.2,(N186-3)/2*0.2))</f>
        <v>0.1</v>
      </c>
      <c r="Q186" s="9" t="n">
        <f aca="false">G186*12*P186</f>
        <v>2376000</v>
      </c>
      <c r="R186" s="10" t="s">
        <v>24</v>
      </c>
      <c r="S186" s="2" t="s">
        <v>31</v>
      </c>
    </row>
    <row r="187" customFormat="false" ht="39.55" hidden="false" customHeight="false" outlineLevel="0" collapsed="false">
      <c r="A187" s="2" t="s">
        <v>443</v>
      </c>
      <c r="B187" s="3" t="s">
        <v>444</v>
      </c>
      <c r="C187" s="3" t="s">
        <v>442</v>
      </c>
      <c r="D187" s="3" t="s">
        <v>439</v>
      </c>
      <c r="E187" s="3" t="s">
        <v>438</v>
      </c>
      <c r="F187" s="4" t="n">
        <v>45881</v>
      </c>
      <c r="G187" s="5" t="n">
        <v>2030000</v>
      </c>
      <c r="H187" s="6" t="n">
        <v>4</v>
      </c>
      <c r="I187" s="6" t="n">
        <v>5</v>
      </c>
      <c r="J187" s="6" t="n">
        <v>5</v>
      </c>
      <c r="K187" s="6" t="n">
        <v>5</v>
      </c>
      <c r="L187" s="6" t="n">
        <v>5</v>
      </c>
      <c r="M187" s="6" t="n">
        <v>5</v>
      </c>
      <c r="N187" s="7" t="n">
        <f aca="false">AVERAGE(H187:M187)</f>
        <v>4.83333333333333</v>
      </c>
      <c r="O187" s="2" t="str">
        <f aca="false">IF(ROUND(N187,0)&lt;=1,"Deficiente",IF(ROUND(N187,0)=2,"Bajo",IF(ROUND(N187,0)=3,"Satisfactorio",IF(ROUND(N187,0)=4,"Bueno","Excelente"))))</f>
        <v>Excelente</v>
      </c>
      <c r="P187" s="8" t="n">
        <f aca="false">MAX(0,MIN(0.2,(N187-3)/2*0.2))</f>
        <v>0.183333333333333</v>
      </c>
      <c r="Q187" s="9" t="n">
        <f aca="false">G187*12*P187</f>
        <v>4466000</v>
      </c>
      <c r="R187" s="10" t="s">
        <v>67</v>
      </c>
      <c r="S187" s="2" t="s">
        <v>25</v>
      </c>
    </row>
    <row r="188" customFormat="false" ht="39.55" hidden="false" customHeight="false" outlineLevel="0" collapsed="false">
      <c r="A188" s="2" t="s">
        <v>445</v>
      </c>
      <c r="B188" s="3" t="s">
        <v>446</v>
      </c>
      <c r="C188" s="3" t="s">
        <v>442</v>
      </c>
      <c r="D188" s="3" t="s">
        <v>439</v>
      </c>
      <c r="E188" s="3" t="s">
        <v>438</v>
      </c>
      <c r="F188" s="4" t="n">
        <v>45691</v>
      </c>
      <c r="G188" s="5" t="n">
        <v>2090000</v>
      </c>
      <c r="H188" s="6" t="n">
        <v>3</v>
      </c>
      <c r="I188" s="6" t="n">
        <v>3</v>
      </c>
      <c r="J188" s="6" t="n">
        <v>3</v>
      </c>
      <c r="K188" s="6" t="n">
        <v>3</v>
      </c>
      <c r="L188" s="6" t="n">
        <v>3</v>
      </c>
      <c r="M188" s="6" t="n">
        <v>3</v>
      </c>
      <c r="N188" s="7" t="n">
        <f aca="false">AVERAGE(H188:M188)</f>
        <v>3</v>
      </c>
      <c r="O188" s="2" t="str">
        <f aca="false">IF(ROUND(N188,0)&lt;=1,"Deficiente",IF(ROUND(N188,0)=2,"Bajo",IF(ROUND(N188,0)=3,"Satisfactorio",IF(ROUND(N188,0)=4,"Bueno","Excelente"))))</f>
        <v>Satisfactorio</v>
      </c>
      <c r="P188" s="8" t="n">
        <f aca="false">MAX(0,MIN(0.2,(N188-3)/2*0.2))</f>
        <v>0</v>
      </c>
      <c r="Q188" s="9" t="n">
        <f aca="false">G188*12*P188</f>
        <v>0</v>
      </c>
      <c r="R188" s="10" t="s">
        <v>45</v>
      </c>
      <c r="S188" s="2" t="s">
        <v>31</v>
      </c>
    </row>
    <row r="190" customFormat="false" ht="15" hidden="false" customHeight="false" outlineLevel="0" collapsed="false">
      <c r="A190" s="11" t="s">
        <v>447</v>
      </c>
    </row>
  </sheetData>
  <conditionalFormatting sqref="O2:O188">
    <cfRule type="cellIs" priority="2" operator="equal" aboveAverage="0" equalAverage="0" bottom="0" percent="0" rank="0" text="" dxfId="10">
      <formula>"Deficiente"</formula>
    </cfRule>
    <cfRule type="cellIs" priority="3" operator="equal" aboveAverage="0" equalAverage="0" bottom="0" percent="0" rank="0" text="" dxfId="11">
      <formula>"Bajo"</formula>
    </cfRule>
    <cfRule type="cellIs" priority="4" operator="equal" aboveAverage="0" equalAverage="0" bottom="0" percent="0" rank="0" text="" dxfId="12">
      <formula>"Satisfactorio"</formula>
    </cfRule>
    <cfRule type="cellIs" priority="5" operator="equal" aboveAverage="0" equalAverage="0" bottom="0" percent="0" rank="0" text="" dxfId="13">
      <formula>"Bueno"</formula>
    </cfRule>
    <cfRule type="cellIs" priority="6" operator="equal" aboveAverage="0" equalAverage="0" bottom="0" percent="0" rank="0" text="" dxfId="14">
      <formula>"Excelente"</formula>
    </cfRule>
  </conditionalFormatting>
  <conditionalFormatting sqref="S2:S188">
    <cfRule type="cellIs" priority="7" operator="equal" aboveAverage="0" equalAverage="0" bottom="0" percent="0" rank="0" text="" dxfId="10">
      <formula>"PIP"</formula>
    </cfRule>
    <cfRule type="cellIs" priority="8" operator="equal" aboveAverage="0" equalAverage="0" bottom="0" percent="0" rank="0" text="" dxfId="12">
      <formula>"Capacitación"</formula>
    </cfRule>
    <cfRule type="cellIs" priority="9" operator="equal" aboveAverage="0" equalAverage="0" bottom="0" percent="0" rank="0" text="" dxfId="13">
      <formula>"Mantener"</formula>
    </cfRule>
    <cfRule type="cellIs" priority="10" operator="equal" aboveAverage="0" equalAverage="0" bottom="0" percent="0" rank="0" text="" dxfId="14">
      <formula>"Ascenso"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7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8"/>
    <col collapsed="false" customWidth="true" hidden="false" outlineLevel="0" max="2" min="2" style="0" width="20"/>
    <col collapsed="false" customWidth="true" hidden="false" outlineLevel="0" max="3" min="3" style="0" width="26"/>
    <col collapsed="false" customWidth="true" hidden="false" outlineLevel="0" max="4" min="4" style="0" width="22"/>
    <col collapsed="false" customWidth="true" hidden="false" outlineLevel="0" max="5" min="5" style="0" width="12"/>
  </cols>
  <sheetData>
    <row r="1" customFormat="false" ht="16.15" hidden="false" customHeight="false" outlineLevel="0" collapsed="false">
      <c r="A1" s="12" t="s">
        <v>448</v>
      </c>
      <c r="B1" s="12"/>
    </row>
    <row r="3" customFormat="false" ht="15" hidden="false" customHeight="false" outlineLevel="0" collapsed="false">
      <c r="A3" s="13" t="s">
        <v>449</v>
      </c>
      <c r="B3" s="14" t="n">
        <f aca="false">COUNTA(Evaluaciones!A2:A188)</f>
        <v>187</v>
      </c>
    </row>
    <row r="4" customFormat="false" ht="15" hidden="false" customHeight="false" outlineLevel="0" collapsed="false">
      <c r="A4" s="13"/>
    </row>
    <row r="5" customFormat="false" ht="15" hidden="false" customHeight="false" outlineLevel="0" collapsed="false">
      <c r="A5" s="13" t="s">
        <v>450</v>
      </c>
      <c r="B5" s="14" t="n">
        <f aca="false">COUNTIF(Evaluaciones!O2:O188,"Excelente")</f>
        <v>43</v>
      </c>
    </row>
    <row r="6" customFormat="false" ht="15" hidden="false" customHeight="false" outlineLevel="0" collapsed="false">
      <c r="A6" s="13" t="s">
        <v>451</v>
      </c>
      <c r="B6" s="14" t="n">
        <f aca="false">COUNTIF(Evaluaciones!O2:O188,"Bueno")</f>
        <v>91</v>
      </c>
    </row>
    <row r="7" customFormat="false" ht="15" hidden="false" customHeight="false" outlineLevel="0" collapsed="false">
      <c r="A7" s="13" t="s">
        <v>452</v>
      </c>
      <c r="B7" s="14" t="n">
        <f aca="false">COUNTIF(Evaluaciones!O2:O188,"Satisfactorio")</f>
        <v>37</v>
      </c>
    </row>
    <row r="8" customFormat="false" ht="15" hidden="false" customHeight="false" outlineLevel="0" collapsed="false">
      <c r="A8" s="13" t="s">
        <v>453</v>
      </c>
      <c r="B8" s="14" t="n">
        <f aca="false">COUNTIF(Evaluaciones!O2:O188,"Bajo")</f>
        <v>14</v>
      </c>
    </row>
    <row r="9" customFormat="false" ht="15" hidden="false" customHeight="false" outlineLevel="0" collapsed="false">
      <c r="A9" s="13" t="s">
        <v>454</v>
      </c>
      <c r="B9" s="14" t="n">
        <f aca="false">COUNTIF(Evaluaciones!O2:O188,"Deficiente")</f>
        <v>2</v>
      </c>
    </row>
    <row r="10" customFormat="false" ht="15" hidden="false" customHeight="false" outlineLevel="0" collapsed="false">
      <c r="A10" s="13" t="s">
        <v>455</v>
      </c>
      <c r="B10" s="15" t="n">
        <f aca="false">(B5+B6)/B3</f>
        <v>0.716577540106952</v>
      </c>
    </row>
    <row r="11" customFormat="false" ht="15" hidden="false" customHeight="false" outlineLevel="0" collapsed="false">
      <c r="A11" s="13" t="s">
        <v>456</v>
      </c>
      <c r="B11" s="15" t="n">
        <f aca="false">B7/B3</f>
        <v>0.197860962566845</v>
      </c>
    </row>
    <row r="12" customFormat="false" ht="15" hidden="false" customHeight="false" outlineLevel="0" collapsed="false">
      <c r="A12" s="13" t="s">
        <v>457</v>
      </c>
      <c r="B12" s="15" t="n">
        <f aca="false">(B8+B9)/B3</f>
        <v>0.0855614973262032</v>
      </c>
    </row>
    <row r="13" customFormat="false" ht="15" hidden="false" customHeight="false" outlineLevel="0" collapsed="false">
      <c r="A13" s="13"/>
    </row>
    <row r="14" customFormat="false" ht="15" hidden="false" customHeight="false" outlineLevel="0" collapsed="false">
      <c r="A14" s="13" t="s">
        <v>458</v>
      </c>
      <c r="B14" s="16" t="n">
        <f aca="false">AVERAGE(Evaluaciones!N2:N188)</f>
        <v>3.83689839572193</v>
      </c>
    </row>
    <row r="15" customFormat="false" ht="15" hidden="false" customHeight="false" outlineLevel="0" collapsed="false">
      <c r="A15" s="13" t="s">
        <v>459</v>
      </c>
      <c r="B15" s="16" t="n">
        <f aca="false">AVERAGEIF(Evaluaciones!C2:C188,"*Gerente*",Evaluaciones!N2:N188)</f>
        <v>4.5</v>
      </c>
    </row>
    <row r="16" customFormat="false" ht="15" hidden="false" customHeight="false" outlineLevel="0" collapsed="false">
      <c r="A16" s="13"/>
    </row>
    <row r="17" customFormat="false" ht="15" hidden="false" customHeight="false" outlineLevel="0" collapsed="false">
      <c r="A17" s="13" t="s">
        <v>460</v>
      </c>
      <c r="B17" s="14" t="n">
        <f aca="false">COUNTIF(Evaluaciones!S2:S188,"Ascenso")</f>
        <v>25</v>
      </c>
    </row>
    <row r="18" customFormat="false" ht="15" hidden="false" customHeight="false" outlineLevel="0" collapsed="false">
      <c r="A18" s="13" t="s">
        <v>461</v>
      </c>
      <c r="B18" s="14" t="n">
        <f aca="false">COUNTIF(Evaluaciones!S2:S188,"Mantener")</f>
        <v>131</v>
      </c>
    </row>
    <row r="19" customFormat="false" ht="15" hidden="false" customHeight="false" outlineLevel="0" collapsed="false">
      <c r="A19" s="13" t="s">
        <v>462</v>
      </c>
      <c r="B19" s="14" t="n">
        <f aca="false">COUNTIF(Evaluaciones!S2:S188,"Capacitación")</f>
        <v>22</v>
      </c>
    </row>
    <row r="20" customFormat="false" ht="15" hidden="false" customHeight="false" outlineLevel="0" collapsed="false">
      <c r="A20" s="13" t="s">
        <v>463</v>
      </c>
      <c r="B20" s="14" t="n">
        <f aca="false">COUNTIF(Evaluaciones!S2:S188,"PIP")</f>
        <v>9</v>
      </c>
    </row>
    <row r="21" customFormat="false" ht="15" hidden="false" customHeight="false" outlineLevel="0" collapsed="false">
      <c r="A21" s="13"/>
    </row>
    <row r="22" customFormat="false" ht="15" hidden="false" customHeight="false" outlineLevel="0" collapsed="false">
      <c r="A22" s="13" t="s">
        <v>464</v>
      </c>
      <c r="B22" s="17" t="n">
        <f aca="false">SUM(Evaluaciones!Q2:Q188)</f>
        <v>608370000</v>
      </c>
    </row>
    <row r="23" customFormat="false" ht="15" hidden="false" customHeight="false" outlineLevel="0" collapsed="false">
      <c r="A23" s="13" t="s">
        <v>465</v>
      </c>
      <c r="B23" s="17" t="n">
        <f aca="false">AVERAGE(Evaluaciones!Q2:Q188)</f>
        <v>3253315.50802139</v>
      </c>
    </row>
    <row r="25" customFormat="false" ht="15" hidden="false" customHeight="false" outlineLevel="0" collapsed="false">
      <c r="A25" s="18" t="s">
        <v>466</v>
      </c>
    </row>
    <row r="26" customFormat="false" ht="15" hidden="false" customHeight="false" outlineLevel="0" collapsed="false">
      <c r="A26" s="19" t="s">
        <v>467</v>
      </c>
      <c r="B26" s="19" t="s">
        <v>1</v>
      </c>
      <c r="C26" s="19" t="s">
        <v>2</v>
      </c>
      <c r="D26" s="19" t="s">
        <v>3</v>
      </c>
      <c r="E26" s="19" t="s">
        <v>468</v>
      </c>
    </row>
    <row r="27" customFormat="false" ht="15" hidden="false" customHeight="false" outlineLevel="0" collapsed="false">
      <c r="A27" s="13" t="str">
        <f aca="false">Evaluaciones!A3</f>
        <v>E002</v>
      </c>
      <c r="B27" s="13" t="str">
        <f aca="false">Evaluaciones!B3</f>
        <v>Eduardo Jiménez Torres</v>
      </c>
      <c r="C27" s="13" t="str">
        <f aca="false">Evaluaciones!C3</f>
        <v>Gerente de Ventas</v>
      </c>
      <c r="D27" s="13" t="str">
        <f aca="false">Evaluaciones!D3</f>
        <v>Ventas</v>
      </c>
      <c r="E27" s="20" t="n">
        <f aca="false">Evaluaciones!N3</f>
        <v>5</v>
      </c>
    </row>
    <row r="28" customFormat="false" ht="15" hidden="false" customHeight="false" outlineLevel="0" collapsed="false">
      <c r="A28" s="13" t="str">
        <f aca="false">Evaluaciones!A15</f>
        <v>E014</v>
      </c>
      <c r="B28" s="13" t="str">
        <f aca="false">Evaluaciones!B15</f>
        <v>Andrés Vargas Vega</v>
      </c>
      <c r="C28" s="13" t="str">
        <f aca="false">Evaluaciones!C15</f>
        <v>Asesor Comercial</v>
      </c>
      <c r="D28" s="13" t="str">
        <f aca="false">Evaluaciones!D15</f>
        <v>Ventas</v>
      </c>
      <c r="E28" s="20" t="n">
        <f aca="false">Evaluaciones!N15</f>
        <v>5</v>
      </c>
    </row>
    <row r="29" customFormat="false" ht="15" hidden="false" customHeight="false" outlineLevel="0" collapsed="false">
      <c r="A29" s="13" t="str">
        <f aca="false">Evaluaciones!A38</f>
        <v>E037</v>
      </c>
      <c r="B29" s="13" t="str">
        <f aca="false">Evaluaciones!B38</f>
        <v>Diego Barros Castillo</v>
      </c>
      <c r="C29" s="13" t="str">
        <f aca="false">Evaluaciones!C38</f>
        <v>Asesor Comercial</v>
      </c>
      <c r="D29" s="13" t="str">
        <f aca="false">Evaluaciones!D38</f>
        <v>Ventas</v>
      </c>
      <c r="E29" s="20" t="n">
        <f aca="false">Evaluaciones!N38</f>
        <v>5</v>
      </c>
    </row>
    <row r="30" customFormat="false" ht="15" hidden="false" customHeight="false" outlineLevel="0" collapsed="false">
      <c r="A30" s="13" t="str">
        <f aca="false">Evaluaciones!A61</f>
        <v>E060</v>
      </c>
      <c r="B30" s="13" t="str">
        <f aca="false">Evaluaciones!B61</f>
        <v>María Núñez Romero</v>
      </c>
      <c r="C30" s="13" t="str">
        <f aca="false">Evaluaciones!C61</f>
        <v>Jefe de Logística</v>
      </c>
      <c r="D30" s="13" t="str">
        <f aca="false">Evaluaciones!D61</f>
        <v>Logística y Distribución</v>
      </c>
      <c r="E30" s="20" t="n">
        <f aca="false">Evaluaciones!N61</f>
        <v>5</v>
      </c>
    </row>
    <row r="31" customFormat="false" ht="15" hidden="false" customHeight="false" outlineLevel="0" collapsed="false">
      <c r="A31" s="13" t="str">
        <f aca="false">Evaluaciones!A62</f>
        <v>E061</v>
      </c>
      <c r="B31" s="13" t="str">
        <f aca="false">Evaluaciones!B62</f>
        <v>Yolanda Vargas Torres</v>
      </c>
      <c r="C31" s="13" t="str">
        <f aca="false">Evaluaciones!C62</f>
        <v>Supervisor de Ruta</v>
      </c>
      <c r="D31" s="13" t="str">
        <f aca="false">Evaluaciones!D62</f>
        <v>Logística y Distribución</v>
      </c>
      <c r="E31" s="20" t="n">
        <f aca="false">Evaluaciones!N62</f>
        <v>5</v>
      </c>
    </row>
    <row r="32" customFormat="false" ht="15" hidden="false" customHeight="false" outlineLevel="0" collapsed="false">
      <c r="A32" s="13" t="str">
        <f aca="false">Evaluaciones!A63</f>
        <v>E062</v>
      </c>
      <c r="B32" s="13" t="str">
        <f aca="false">Evaluaciones!B63</f>
        <v>Álvaro Martínez López</v>
      </c>
      <c r="C32" s="13" t="str">
        <f aca="false">Evaluaciones!C63</f>
        <v>Supervisor de Ruta</v>
      </c>
      <c r="D32" s="13" t="str">
        <f aca="false">Evaluaciones!D63</f>
        <v>Logística y Distribución</v>
      </c>
      <c r="E32" s="20" t="n">
        <f aca="false">Evaluaciones!N63</f>
        <v>5</v>
      </c>
    </row>
    <row r="33" customFormat="false" ht="15" hidden="false" customHeight="false" outlineLevel="0" collapsed="false">
      <c r="A33" s="13" t="str">
        <f aca="false">Evaluaciones!A104</f>
        <v>E103</v>
      </c>
      <c r="B33" s="13" t="str">
        <f aca="false">Evaluaciones!B104</f>
        <v>Tatiana Rojas Sánchez</v>
      </c>
      <c r="C33" s="13" t="str">
        <f aca="false">Evaluaciones!C104</f>
        <v>Supervisor de Bodega</v>
      </c>
      <c r="D33" s="13" t="str">
        <f aca="false">Evaluaciones!D104</f>
        <v>Bodega y Almacén</v>
      </c>
      <c r="E33" s="20" t="n">
        <f aca="false">Evaluaciones!N104</f>
        <v>5</v>
      </c>
    </row>
    <row r="34" customFormat="false" ht="15" hidden="false" customHeight="false" outlineLevel="0" collapsed="false">
      <c r="A34" s="13" t="str">
        <f aca="false">Evaluaciones!A117</f>
        <v>E116</v>
      </c>
      <c r="B34" s="13" t="str">
        <f aca="false">Evaluaciones!B117</f>
        <v>Freddy Pérez Cárdenas</v>
      </c>
      <c r="C34" s="13" t="str">
        <f aca="false">Evaluaciones!C117</f>
        <v>Auxiliar de Bodega</v>
      </c>
      <c r="D34" s="13" t="str">
        <f aca="false">Evaluaciones!D117</f>
        <v>Bodega y Almacén</v>
      </c>
      <c r="E34" s="20" t="n">
        <f aca="false">Evaluaciones!N117</f>
        <v>5</v>
      </c>
    </row>
    <row r="35" customFormat="false" ht="15" hidden="false" customHeight="false" outlineLevel="0" collapsed="false">
      <c r="A35" s="13" t="str">
        <f aca="false">Evaluaciones!A138</f>
        <v>E137</v>
      </c>
      <c r="B35" s="13" t="str">
        <f aca="false">Evaluaciones!B138</f>
        <v>Yolanda Vargas Medina</v>
      </c>
      <c r="C35" s="13" t="str">
        <f aca="false">Evaluaciones!C138</f>
        <v>Jefe de Servicio al Cliente</v>
      </c>
      <c r="D35" s="13" t="str">
        <f aca="false">Evaluaciones!D138</f>
        <v>Servicio al Cliente</v>
      </c>
      <c r="E35" s="20" t="n">
        <f aca="false">Evaluaciones!N138</f>
        <v>5</v>
      </c>
    </row>
    <row r="36" customFormat="false" ht="15" hidden="false" customHeight="false" outlineLevel="0" collapsed="false">
      <c r="A36" s="13" t="str">
        <f aca="false">Evaluaciones!A139</f>
        <v>E138</v>
      </c>
      <c r="B36" s="13" t="str">
        <f aca="false">Evaluaciones!B139</f>
        <v>Luis Iguarán García</v>
      </c>
      <c r="C36" s="13" t="str">
        <f aca="false">Evaluaciones!C139</f>
        <v>Supervisor de Servicio al Cliente</v>
      </c>
      <c r="D36" s="13" t="str">
        <f aca="false">Evaluaciones!D139</f>
        <v>Servicio al Cliente</v>
      </c>
      <c r="E36" s="20" t="n">
        <f aca="false">Evaluaciones!N139</f>
        <v>5</v>
      </c>
    </row>
    <row r="38" customFormat="false" ht="15" hidden="false" customHeight="false" outlineLevel="0" collapsed="false">
      <c r="A38" s="18" t="s">
        <v>469</v>
      </c>
    </row>
    <row r="39" customFormat="false" ht="15" hidden="false" customHeight="false" outlineLevel="0" collapsed="false">
      <c r="A39" s="19" t="s">
        <v>467</v>
      </c>
      <c r="B39" s="19" t="s">
        <v>1</v>
      </c>
      <c r="C39" s="19" t="s">
        <v>2</v>
      </c>
      <c r="D39" s="19" t="s">
        <v>3</v>
      </c>
      <c r="E39" s="19" t="s">
        <v>18</v>
      </c>
    </row>
    <row r="40" customFormat="false" ht="15" hidden="false" customHeight="false" outlineLevel="0" collapsed="false">
      <c r="A40" s="13" t="str">
        <f aca="false">Evaluaciones!A12</f>
        <v>E011</v>
      </c>
      <c r="B40" s="13" t="str">
        <f aca="false">Evaluaciones!B12</f>
        <v>Nelson López Muñoz</v>
      </c>
      <c r="C40" s="13" t="str">
        <f aca="false">Evaluaciones!C12</f>
        <v>Asesor Comercial</v>
      </c>
      <c r="D40" s="13" t="str">
        <f aca="false">Evaluaciones!D12</f>
        <v>Ventas</v>
      </c>
      <c r="E40" s="13" t="str">
        <f aca="false">Evaluaciones!S12</f>
        <v>PIP</v>
      </c>
    </row>
    <row r="41" customFormat="false" ht="15" hidden="false" customHeight="false" outlineLevel="0" collapsed="false">
      <c r="A41" s="13" t="str">
        <f aca="false">Evaluaciones!A80</f>
        <v>E079</v>
      </c>
      <c r="B41" s="13" t="str">
        <f aca="false">Evaluaciones!B80</f>
        <v>Luisa Suárez Vargas</v>
      </c>
      <c r="C41" s="13" t="str">
        <f aca="false">Evaluaciones!C80</f>
        <v>Conductor / Auxiliar de Reparto</v>
      </c>
      <c r="D41" s="13" t="str">
        <f aca="false">Evaluaciones!D80</f>
        <v>Logística y Distribución</v>
      </c>
      <c r="E41" s="13" t="str">
        <f aca="false">Evaluaciones!S80</f>
        <v>PIP</v>
      </c>
    </row>
    <row r="42" customFormat="false" ht="15" hidden="false" customHeight="false" outlineLevel="0" collapsed="false">
      <c r="A42" s="13" t="str">
        <f aca="false">Evaluaciones!A174</f>
        <v>E173</v>
      </c>
      <c r="B42" s="13" t="str">
        <f aca="false">Evaluaciones!B174</f>
        <v>Fernando Iguarán Castillo</v>
      </c>
      <c r="C42" s="13" t="str">
        <f aca="false">Evaluaciones!C174</f>
        <v>Analista de Recursos Humanos</v>
      </c>
      <c r="D42" s="13" t="str">
        <f aca="false">Evaluaciones!D174</f>
        <v>Recursos Humanos</v>
      </c>
      <c r="E42" s="13" t="str">
        <f aca="false">Evaluaciones!S174</f>
        <v>PIP</v>
      </c>
    </row>
    <row r="43" customFormat="false" ht="15" hidden="false" customHeight="false" outlineLevel="0" collapsed="false">
      <c r="A43" s="13" t="str">
        <f aca="false">Evaluaciones!A18</f>
        <v>E017</v>
      </c>
      <c r="B43" s="13" t="str">
        <f aca="false">Evaluaciones!B18</f>
        <v>Yesenia Torres Redondo</v>
      </c>
      <c r="C43" s="13" t="str">
        <f aca="false">Evaluaciones!C18</f>
        <v>Asesor Comercial</v>
      </c>
      <c r="D43" s="13" t="str">
        <f aca="false">Evaluaciones!D18</f>
        <v>Ventas</v>
      </c>
      <c r="E43" s="13" t="str">
        <f aca="false">Evaluaciones!S18</f>
        <v>PIP</v>
      </c>
    </row>
    <row r="44" customFormat="false" ht="15" hidden="false" customHeight="false" outlineLevel="0" collapsed="false">
      <c r="A44" s="13" t="str">
        <f aca="false">Evaluaciones!A59</f>
        <v>E058</v>
      </c>
      <c r="B44" s="13" t="str">
        <f aca="false">Evaluaciones!B59</f>
        <v>Mauricio Cantillo García</v>
      </c>
      <c r="C44" s="13" t="str">
        <f aca="false">Evaluaciones!C59</f>
        <v>Asesor Comercial</v>
      </c>
      <c r="D44" s="13" t="str">
        <f aca="false">Evaluaciones!D59</f>
        <v>Ventas</v>
      </c>
      <c r="E44" s="13" t="str">
        <f aca="false">Evaluaciones!S59</f>
        <v>PIP</v>
      </c>
    </row>
    <row r="45" customFormat="false" ht="15" hidden="false" customHeight="false" outlineLevel="0" collapsed="false">
      <c r="A45" s="13" t="str">
        <f aca="false">Evaluaciones!A69</f>
        <v>E068</v>
      </c>
      <c r="B45" s="13" t="str">
        <f aca="false">Evaluaciones!B69</f>
        <v>Diana Ramírez Torres</v>
      </c>
      <c r="C45" s="13" t="str">
        <f aca="false">Evaluaciones!C69</f>
        <v>Conductor / Auxiliar de Reparto</v>
      </c>
      <c r="D45" s="13" t="str">
        <f aca="false">Evaluaciones!D69</f>
        <v>Logística y Distribución</v>
      </c>
      <c r="E45" s="13" t="str">
        <f aca="false">Evaluaciones!S69</f>
        <v>PIP</v>
      </c>
    </row>
    <row r="46" customFormat="false" ht="15" hidden="false" customHeight="false" outlineLevel="0" collapsed="false">
      <c r="A46" s="13" t="str">
        <f aca="false">Evaluaciones!A79</f>
        <v>E078</v>
      </c>
      <c r="B46" s="13" t="str">
        <f aca="false">Evaluaciones!B79</f>
        <v>Ingrid Núñez Martínez</v>
      </c>
      <c r="C46" s="13" t="str">
        <f aca="false">Evaluaciones!C79</f>
        <v>Conductor / Auxiliar de Reparto</v>
      </c>
      <c r="D46" s="13" t="str">
        <f aca="false">Evaluaciones!D79</f>
        <v>Logística y Distribución</v>
      </c>
      <c r="E46" s="13" t="str">
        <f aca="false">Evaluaciones!S79</f>
        <v>PIP</v>
      </c>
    </row>
    <row r="47" customFormat="false" ht="15" hidden="false" customHeight="false" outlineLevel="0" collapsed="false">
      <c r="A47" s="13" t="str">
        <f aca="false">Evaluaciones!A135</f>
        <v>E134</v>
      </c>
      <c r="B47" s="13" t="str">
        <f aca="false">Evaluaciones!B135</f>
        <v>Iván Castro Salcedo</v>
      </c>
      <c r="C47" s="13" t="str">
        <f aca="false">Evaluaciones!C135</f>
        <v>Auxiliar de Bodega</v>
      </c>
      <c r="D47" s="13" t="str">
        <f aca="false">Evaluaciones!D135</f>
        <v>Bodega y Almacén</v>
      </c>
      <c r="E47" s="13" t="str">
        <f aca="false">Evaluaciones!S135</f>
        <v>PIP</v>
      </c>
    </row>
    <row r="48" customFormat="false" ht="15" hidden="false" customHeight="false" outlineLevel="0" collapsed="false">
      <c r="A48" s="13" t="str">
        <f aca="false">Evaluaciones!A29</f>
        <v>E028</v>
      </c>
      <c r="B48" s="13" t="str">
        <f aca="false">Evaluaciones!B29</f>
        <v>Liliana Mendoza Pacheco</v>
      </c>
      <c r="C48" s="13" t="str">
        <f aca="false">Evaluaciones!C29</f>
        <v>Asesor Comercial</v>
      </c>
      <c r="D48" s="13" t="str">
        <f aca="false">Evaluaciones!D29</f>
        <v>Ventas</v>
      </c>
      <c r="E48" s="13" t="str">
        <f aca="false">Evaluaciones!S29</f>
        <v>PIP</v>
      </c>
    </row>
    <row r="49" customFormat="false" ht="15" hidden="false" customHeight="false" outlineLevel="0" collapsed="false">
      <c r="A49" s="13" t="str">
        <f aca="false">Evaluaciones!A181</f>
        <v>E180</v>
      </c>
      <c r="B49" s="13" t="str">
        <f aca="false">Evaluaciones!B181</f>
        <v>Natalia Jiménez Blanco</v>
      </c>
      <c r="C49" s="13" t="str">
        <f aca="false">Evaluaciones!C181</f>
        <v>Analista de Soporte TI</v>
      </c>
      <c r="D49" s="13" t="str">
        <f aca="false">Evaluaciones!D181</f>
        <v>Tecnología (TI)</v>
      </c>
      <c r="E49" s="13" t="str">
        <f aca="false">Evaluaciones!S181</f>
        <v>Capacitación</v>
      </c>
    </row>
    <row r="50" customFormat="false" ht="15" hidden="false" customHeight="false" outlineLevel="0" collapsed="false">
      <c r="A50" s="13" t="str">
        <f aca="false">Evaluaciones!A178</f>
        <v>E177</v>
      </c>
      <c r="B50" s="13" t="str">
        <f aca="false">Evaluaciones!B178</f>
        <v>Diego Suárez Barros</v>
      </c>
      <c r="C50" s="13" t="str">
        <f aca="false">Evaluaciones!C178</f>
        <v>Analista de Recursos Humanos</v>
      </c>
      <c r="D50" s="13" t="str">
        <f aca="false">Evaluaciones!D178</f>
        <v>Recursos Humanos</v>
      </c>
      <c r="E50" s="13" t="str">
        <f aca="false">Evaluaciones!S178</f>
        <v>Capacitación</v>
      </c>
    </row>
    <row r="51" customFormat="false" ht="15" hidden="false" customHeight="false" outlineLevel="0" collapsed="false">
      <c r="A51" s="13" t="str">
        <f aca="false">Evaluaciones!A24</f>
        <v>E023</v>
      </c>
      <c r="B51" s="13" t="str">
        <f aca="false">Evaluaciones!B24</f>
        <v>Alejandra Castro Salcedo</v>
      </c>
      <c r="C51" s="13" t="str">
        <f aca="false">Evaluaciones!C24</f>
        <v>Asesor Comercial</v>
      </c>
      <c r="D51" s="13" t="str">
        <f aca="false">Evaluaciones!D24</f>
        <v>Ventas</v>
      </c>
      <c r="E51" s="13" t="str">
        <f aca="false">Evaluaciones!S24</f>
        <v>Capacitación</v>
      </c>
    </row>
    <row r="52" customFormat="false" ht="15" hidden="false" customHeight="false" outlineLevel="0" collapsed="false">
      <c r="A52" s="13" t="str">
        <f aca="false">Evaluaciones!A108</f>
        <v>E107</v>
      </c>
      <c r="B52" s="13" t="str">
        <f aca="false">Evaluaciones!B108</f>
        <v>Mónica Cárdenas Ramírez</v>
      </c>
      <c r="C52" s="13" t="str">
        <f aca="false">Evaluaciones!C108</f>
        <v>Auxiliar de Bodega</v>
      </c>
      <c r="D52" s="13" t="str">
        <f aca="false">Evaluaciones!D108</f>
        <v>Bodega y Almacén</v>
      </c>
      <c r="E52" s="13" t="str">
        <f aca="false">Evaluaciones!S108</f>
        <v>Capacitación</v>
      </c>
    </row>
    <row r="53" customFormat="false" ht="15" hidden="false" customHeight="false" outlineLevel="0" collapsed="false">
      <c r="A53" s="13" t="str">
        <f aca="false">Evaluaciones!A165</f>
        <v>E164</v>
      </c>
      <c r="B53" s="13" t="str">
        <f aca="false">Evaluaciones!B165</f>
        <v>Estefanía Castro Padilla</v>
      </c>
      <c r="C53" s="13" t="str">
        <f aca="false">Evaluaciones!C165</f>
        <v>Analista Contable/Financiero</v>
      </c>
      <c r="D53" s="13" t="str">
        <f aca="false">Evaluaciones!D165</f>
        <v>Finanzas y Contabilidad</v>
      </c>
      <c r="E53" s="13" t="str">
        <f aca="false">Evaluaciones!S165</f>
        <v>Capacitación</v>
      </c>
    </row>
    <row r="54" customFormat="false" ht="15" hidden="false" customHeight="false" outlineLevel="0" collapsed="false">
      <c r="A54" s="13" t="str">
        <f aca="false">Evaluaciones!A41</f>
        <v>E040</v>
      </c>
      <c r="B54" s="13" t="str">
        <f aca="false">Evaluaciones!B41</f>
        <v>Gustavo Gómez Muñoz</v>
      </c>
      <c r="C54" s="13" t="str">
        <f aca="false">Evaluaciones!C41</f>
        <v>Asesor Comercial</v>
      </c>
      <c r="D54" s="13" t="str">
        <f aca="false">Evaluaciones!D41</f>
        <v>Ventas</v>
      </c>
      <c r="E54" s="13" t="str">
        <f aca="false">Evaluaciones!S41</f>
        <v>Capacitación</v>
      </c>
    </row>
    <row r="55" customFormat="false" ht="15" hidden="false" customHeight="false" outlineLevel="0" collapsed="false">
      <c r="A55" s="13" t="str">
        <f aca="false">Evaluaciones!A57</f>
        <v>E056</v>
      </c>
      <c r="B55" s="13" t="str">
        <f aca="false">Evaluaciones!B57</f>
        <v>Viviana García Escobar</v>
      </c>
      <c r="C55" s="13" t="str">
        <f aca="false">Evaluaciones!C57</f>
        <v>Asesor Comercial</v>
      </c>
      <c r="D55" s="13" t="str">
        <f aca="false">Evaluaciones!D57</f>
        <v>Ventas</v>
      </c>
      <c r="E55" s="13" t="str">
        <f aca="false">Evaluaciones!S57</f>
        <v>Capacitación</v>
      </c>
    </row>
    <row r="56" customFormat="false" ht="15" hidden="false" customHeight="false" outlineLevel="0" collapsed="false">
      <c r="A56" s="13" t="str">
        <f aca="false">Evaluaciones!A112</f>
        <v>E111</v>
      </c>
      <c r="B56" s="13" t="str">
        <f aca="false">Evaluaciones!B112</f>
        <v>Miguel Mendoza Rodríguez</v>
      </c>
      <c r="C56" s="13" t="str">
        <f aca="false">Evaluaciones!C112</f>
        <v>Auxiliar de Bodega</v>
      </c>
      <c r="D56" s="13" t="str">
        <f aca="false">Evaluaciones!D112</f>
        <v>Bodega y Almacén</v>
      </c>
      <c r="E56" s="13" t="str">
        <f aca="false">Evaluaciones!S112</f>
        <v>Capacitación</v>
      </c>
    </row>
    <row r="57" customFormat="false" ht="15" hidden="false" customHeight="false" outlineLevel="0" collapsed="false">
      <c r="A57" s="13" t="str">
        <f aca="false">Evaluaciones!A25</f>
        <v>E024</v>
      </c>
      <c r="B57" s="13" t="str">
        <f aca="false">Evaluaciones!B25</f>
        <v>Sergio Padilla Romero</v>
      </c>
      <c r="C57" s="13" t="str">
        <f aca="false">Evaluaciones!C25</f>
        <v>Asesor Comercial</v>
      </c>
      <c r="D57" s="13" t="str">
        <f aca="false">Evaluaciones!D25</f>
        <v>Ventas</v>
      </c>
      <c r="E57" s="13" t="str">
        <f aca="false">Evaluaciones!S25</f>
        <v>Capacitación</v>
      </c>
    </row>
    <row r="58" customFormat="false" ht="15" hidden="false" customHeight="false" outlineLevel="0" collapsed="false">
      <c r="A58" s="13" t="str">
        <f aca="false">Evaluaciones!A141</f>
        <v>E140</v>
      </c>
      <c r="B58" s="13" t="str">
        <f aca="false">Evaluaciones!B141</f>
        <v>Milena Morales Blanco</v>
      </c>
      <c r="C58" s="13" t="str">
        <f aca="false">Evaluaciones!C141</f>
        <v>Agente de Servicio al Cliente</v>
      </c>
      <c r="D58" s="13" t="str">
        <f aca="false">Evaluaciones!D141</f>
        <v>Servicio al Cliente</v>
      </c>
      <c r="E58" s="13" t="str">
        <f aca="false">Evaluaciones!S141</f>
        <v>Capacitación</v>
      </c>
    </row>
    <row r="59" customFormat="false" ht="15" hidden="false" customHeight="false" outlineLevel="0" collapsed="false">
      <c r="A59" s="13" t="str">
        <f aca="false">Evaluaciones!A17</f>
        <v>E016</v>
      </c>
      <c r="B59" s="13" t="str">
        <f aca="false">Evaluaciones!B17</f>
        <v>Óscar Chamorro Gómez</v>
      </c>
      <c r="C59" s="13" t="str">
        <f aca="false">Evaluaciones!C17</f>
        <v>Asesor Comercial</v>
      </c>
      <c r="D59" s="13" t="str">
        <f aca="false">Evaluaciones!D17</f>
        <v>Ventas</v>
      </c>
      <c r="E59" s="13" t="str">
        <f aca="false">Evaluaciones!S17</f>
        <v>Capacitación</v>
      </c>
    </row>
    <row r="60" customFormat="false" ht="15" hidden="false" customHeight="false" outlineLevel="0" collapsed="false">
      <c r="A60" s="13" t="str">
        <f aca="false">Evaluaciones!A163</f>
        <v>E162</v>
      </c>
      <c r="B60" s="13" t="str">
        <f aca="false">Evaluaciones!B163</f>
        <v>Paola Torres Barros</v>
      </c>
      <c r="C60" s="13" t="str">
        <f aca="false">Evaluaciones!C163</f>
        <v>Coordinador Contable/Tesorería</v>
      </c>
      <c r="D60" s="13" t="str">
        <f aca="false">Evaluaciones!D163</f>
        <v>Finanzas y Contabilidad</v>
      </c>
      <c r="E60" s="13" t="str">
        <f aca="false">Evaluaciones!S163</f>
        <v>Capacitación</v>
      </c>
    </row>
    <row r="61" customFormat="false" ht="15" hidden="false" customHeight="false" outlineLevel="0" collapsed="false">
      <c r="A61" s="13" t="str">
        <f aca="false">Evaluaciones!A10</f>
        <v>E009</v>
      </c>
      <c r="B61" s="13" t="str">
        <f aca="false">Evaluaciones!B10</f>
        <v>María Barros Morales</v>
      </c>
      <c r="C61" s="13" t="str">
        <f aca="false">Evaluaciones!C10</f>
        <v>Asesor Comercial</v>
      </c>
      <c r="D61" s="13" t="str">
        <f aca="false">Evaluaciones!D10</f>
        <v>Ventas</v>
      </c>
      <c r="E61" s="13" t="str">
        <f aca="false">Evaluaciones!S10</f>
        <v>Capacitación</v>
      </c>
    </row>
    <row r="62" customFormat="false" ht="15" hidden="false" customHeight="false" outlineLevel="0" collapsed="false">
      <c r="A62" s="13" t="str">
        <f aca="false">Evaluaciones!A66</f>
        <v>E065</v>
      </c>
      <c r="B62" s="13" t="str">
        <f aca="false">Evaluaciones!B66</f>
        <v>Rafael Ramírez Cantillo</v>
      </c>
      <c r="C62" s="13" t="str">
        <f aca="false">Evaluaciones!C66</f>
        <v>Conductor / Auxiliar de Reparto</v>
      </c>
      <c r="D62" s="13" t="str">
        <f aca="false">Evaluaciones!D66</f>
        <v>Logística y Distribución</v>
      </c>
      <c r="E62" s="13" t="str">
        <f aca="false">Evaluaciones!S66</f>
        <v>Capacitación</v>
      </c>
    </row>
    <row r="63" customFormat="false" ht="15" hidden="false" customHeight="false" outlineLevel="0" collapsed="false">
      <c r="A63" s="13" t="str">
        <f aca="false">Evaluaciones!A157</f>
        <v>E156</v>
      </c>
      <c r="B63" s="13" t="str">
        <f aca="false">Evaluaciones!B157</f>
        <v>Liliana Muñoz Torres</v>
      </c>
      <c r="C63" s="13" t="str">
        <f aca="false">Evaluaciones!C157</f>
        <v>Analista de Compras</v>
      </c>
      <c r="D63" s="13" t="str">
        <f aca="false">Evaluaciones!D157</f>
        <v>Compras</v>
      </c>
      <c r="E63" s="13" t="str">
        <f aca="false">Evaluaciones!S157</f>
        <v>Capacitación</v>
      </c>
    </row>
    <row r="64" customFormat="false" ht="15" hidden="false" customHeight="false" outlineLevel="0" collapsed="false">
      <c r="A64" s="13" t="str">
        <f aca="false">Evaluaciones!A88</f>
        <v>E087</v>
      </c>
      <c r="B64" s="13" t="str">
        <f aca="false">Evaluaciones!B88</f>
        <v>Cristian Salcedo López</v>
      </c>
      <c r="C64" s="13" t="str">
        <f aca="false">Evaluaciones!C88</f>
        <v>Conductor / Auxiliar de Reparto</v>
      </c>
      <c r="D64" s="13" t="str">
        <f aca="false">Evaluaciones!D88</f>
        <v>Logística y Distribución</v>
      </c>
      <c r="E64" s="13" t="str">
        <f aca="false">Evaluaciones!S88</f>
        <v>Capacitación</v>
      </c>
    </row>
    <row r="65" customFormat="false" ht="15" hidden="false" customHeight="false" outlineLevel="0" collapsed="false">
      <c r="A65" s="13" t="str">
        <f aca="false">Evaluaciones!A109</f>
        <v>E108</v>
      </c>
      <c r="B65" s="13" t="str">
        <f aca="false">Evaluaciones!B109</f>
        <v>Gustavo Mendoza Díaz</v>
      </c>
      <c r="C65" s="13" t="str">
        <f aca="false">Evaluaciones!C109</f>
        <v>Auxiliar de Bodega</v>
      </c>
      <c r="D65" s="13" t="str">
        <f aca="false">Evaluaciones!D109</f>
        <v>Bodega y Almacén</v>
      </c>
      <c r="E65" s="13" t="str">
        <f aca="false">Evaluaciones!S109</f>
        <v>Capacitación</v>
      </c>
    </row>
    <row r="66" customFormat="false" ht="15" hidden="false" customHeight="false" outlineLevel="0" collapsed="false">
      <c r="A66" s="13" t="str">
        <f aca="false">Evaluaciones!A54</f>
        <v>E053</v>
      </c>
      <c r="B66" s="13" t="str">
        <f aca="false">Evaluaciones!B54</f>
        <v>Beatriz Padilla Castro</v>
      </c>
      <c r="C66" s="13" t="str">
        <f aca="false">Evaluaciones!C54</f>
        <v>Asesor Comercial</v>
      </c>
      <c r="D66" s="13" t="str">
        <f aca="false">Evaluaciones!D54</f>
        <v>Ventas</v>
      </c>
      <c r="E66" s="13" t="str">
        <f aca="false">Evaluaciones!S54</f>
        <v>Capacitación</v>
      </c>
    </row>
    <row r="67" customFormat="false" ht="15" hidden="false" customHeight="false" outlineLevel="0" collapsed="false">
      <c r="A67" s="13" t="str">
        <f aca="false">Evaluaciones!A58</f>
        <v>E057</v>
      </c>
      <c r="B67" s="13" t="str">
        <f aca="false">Evaluaciones!B58</f>
        <v>Nelson Redondo Gómez</v>
      </c>
      <c r="C67" s="13" t="str">
        <f aca="false">Evaluaciones!C58</f>
        <v>Asesor Comercial</v>
      </c>
      <c r="D67" s="13" t="str">
        <f aca="false">Evaluaciones!D58</f>
        <v>Ventas</v>
      </c>
      <c r="E67" s="13" t="str">
        <f aca="false">Evaluaciones!S58</f>
        <v>Capacitación</v>
      </c>
    </row>
    <row r="68" customFormat="false" ht="15" hidden="false" customHeight="false" outlineLevel="0" collapsed="false">
      <c r="A68" s="13" t="str">
        <f aca="false">Evaluaciones!A94</f>
        <v>E093</v>
      </c>
      <c r="B68" s="13" t="str">
        <f aca="false">Evaluaciones!B94</f>
        <v>Yulieth García Vargas</v>
      </c>
      <c r="C68" s="13" t="str">
        <f aca="false">Evaluaciones!C94</f>
        <v>Conductor / Auxiliar de Reparto</v>
      </c>
      <c r="D68" s="13" t="str">
        <f aca="false">Evaluaciones!D94</f>
        <v>Logística y Distribución</v>
      </c>
      <c r="E68" s="13" t="str">
        <f aca="false">Evaluaciones!S94</f>
        <v>Capacitación</v>
      </c>
    </row>
    <row r="69" customFormat="false" ht="15" hidden="false" customHeight="false" outlineLevel="0" collapsed="false">
      <c r="A69" s="13" t="str">
        <f aca="false">Evaluaciones!A164</f>
        <v>E163</v>
      </c>
      <c r="B69" s="13" t="str">
        <f aca="false">Evaluaciones!B164</f>
        <v>Juan Escobar Romero</v>
      </c>
      <c r="C69" s="13" t="str">
        <f aca="false">Evaluaciones!C164</f>
        <v>Analista Contable/Financiero</v>
      </c>
      <c r="D69" s="13" t="str">
        <f aca="false">Evaluaciones!D164</f>
        <v>Finanzas y Contabilidad</v>
      </c>
      <c r="E69" s="13" t="str">
        <f aca="false">Evaluaciones!S164</f>
        <v>Capacitación</v>
      </c>
    </row>
    <row r="70" customFormat="false" ht="15" hidden="false" customHeight="false" outlineLevel="0" collapsed="false">
      <c r="A70" s="13" t="str">
        <f aca="false">Evaluaciones!A36</f>
        <v>E035</v>
      </c>
      <c r="B70" s="13" t="str">
        <f aca="false">Evaluaciones!B36</f>
        <v>Yolanda García Blanco</v>
      </c>
      <c r="C70" s="13" t="str">
        <f aca="false">Evaluaciones!C36</f>
        <v>Asesor Comercial</v>
      </c>
      <c r="D70" s="13" t="str">
        <f aca="false">Evaluaciones!D36</f>
        <v>Ventas</v>
      </c>
      <c r="E70" s="13" t="str">
        <f aca="false">Evaluaciones!S36</f>
        <v>Capacitación</v>
      </c>
    </row>
    <row r="72" customFormat="false" ht="15" hidden="false" customHeight="false" outlineLevel="0" collapsed="false">
      <c r="A72" s="11" t="s">
        <v>470</v>
      </c>
    </row>
  </sheetData>
  <mergeCells count="1">
    <mergeCell ref="A1:B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2026-08-11T03:35:04Z</dcterms:created>
  <dc:creator>openpyxl</dc:creator>
  <dc:description/>
  <dc:language>en-US</dc:language>
  <cp:lastModifiedBy/>
  <dcterms:modified xsi:type="dcterms:W3CDTF">2026-08-11T03:35:04Z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