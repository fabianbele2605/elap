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litica_Beneficios" sheetId="1" state="visible" r:id="rId3"/>
    <sheet name="Parametros_Legales" sheetId="2" state="visible" r:id="rId4"/>
    <sheet name="Resumen_por_Cargo" sheetId="3" state="visible" r:id="rId5"/>
    <sheet name="Nomina_Detalla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<sst xmlns="http://schemas.openxmlformats.org/spreadsheetml/2006/main" count="1672" uniqueCount="537">
  <si>
    <t xml:space="preserve">POLÍTICA DE BENEFICIOS Y PRESTACIONES SOCIALES — ANDINA FOODS S.A.S.</t>
  </si>
  <si>
    <t xml:space="preserve">Documento de simulación — datos y cifras ficticias, con base en el marco legal laboral colombiano</t>
  </si>
  <si>
    <t xml:space="preserve">Descansos y jornada laboral</t>
  </si>
  <si>
    <t xml:space="preserve">•  Jornada laboral: 47 horas semanales (Ley 2101 de 2021 — reducción gradual hasta 42 horas en 2026).</t>
  </si>
  <si>
    <t xml:space="preserve">•  Descanso semanal remunerado: un (1) día, habitualmente el domingo.</t>
  </si>
  <si>
    <t xml:space="preserve">•  Horas extra diurnas: recargo del 25%. Horas extra nocturnas: recargo del 75%.</t>
  </si>
  <si>
    <t xml:space="preserve">•  Recargo nocturno (no extra): 35% sobre el valor de la hora ordinaria.</t>
  </si>
  <si>
    <t xml:space="preserve">•  Recargo dominical/festivo: 75% adicional sobre el valor de la hora ordinaria.</t>
  </si>
  <si>
    <t xml:space="preserve">Vacaciones</t>
  </si>
  <si>
    <t xml:space="preserve">•  15 días hábiles remunerados por cada año de servicio (Art. 186 CST).</t>
  </si>
  <si>
    <t xml:space="preserve">•  Se programan de común acuerdo entre el colaborador y su jefe directo, priorizando la operación.</t>
  </si>
  <si>
    <t xml:space="preserve">•  No son acumulables por más de dos (2) años sin autorización de Talento Humano.</t>
  </si>
  <si>
    <t xml:space="preserve">Cesantías</t>
  </si>
  <si>
    <t xml:space="preserve">•  Equivalentes a un (1) mes de salario por cada año laborado (8.33% mensual).</t>
  </si>
  <si>
    <t xml:space="preserve">•  Se consignan antes del 14 de febrero de cada año al fondo de cesantías elegido por el colaborador.</t>
  </si>
  <si>
    <t xml:space="preserve">•  El colaborador puede solicitar retiro parcial para vivienda o educación, según ley.</t>
  </si>
  <si>
    <t xml:space="preserve">Intereses a las cesantías</t>
  </si>
  <si>
    <t xml:space="preserve">•  12% anual sobre el saldo de cesantías del año, pagado directamente al colaborador antes del 31 de enero.</t>
  </si>
  <si>
    <t xml:space="preserve">Prima de servicios</t>
  </si>
  <si>
    <t xml:space="preserve">•  Un (1) mes de salario por año, pagado en dos cuotas: 30 de junio y 20 de diciembre.</t>
  </si>
  <si>
    <t xml:space="preserve">Seguridad social</t>
  </si>
  <si>
    <t xml:space="preserve">•  Salud (EPS): aporte del 12.5% del salario (4% empleado / 8.5% empleador, con exoneración patronal para salarios &lt; 10 SMLMV).</t>
  </si>
  <si>
    <t xml:space="preserve">•  Pensión (AFP): aporte del 16% del salario (4% empleado / 12% empleador). Fondo de Solidaridad Pensional +1% para salarios ≥ 4 SMLMV.</t>
  </si>
  <si>
    <t xml:space="preserve">•  Riesgos Laborales (ARL): 100% a cargo del empleador, según clase de riesgo del cargo (I a V).</t>
  </si>
  <si>
    <t xml:space="preserve">•  Caja de Compensación Familiar: 4% a cargo del empleador (afiliación a Cajacopi Atlántico).</t>
  </si>
  <si>
    <t xml:space="preserve">Dotación</t>
  </si>
  <si>
    <t xml:space="preserve">•  Entrega de calzado y vestido de labor tres (3) veces al año (30 abril, 31 agosto, 20 diciembre) para colaboradores que ganan hasta 2 SMLMV.</t>
  </si>
  <si>
    <t xml:space="preserve">•  Aplica a personal de bodega, distribución, mercaderistas y servicios generales.</t>
  </si>
  <si>
    <t xml:space="preserve">Licencias</t>
  </si>
  <si>
    <t xml:space="preserve">•  Licencia de maternidad: 18 semanas remuneradas.</t>
  </si>
  <si>
    <t xml:space="preserve">•  Licencia de paternidad: 2 semanas remuneradas.</t>
  </si>
  <si>
    <t xml:space="preserve">•  Licencia por luto: 5 días hábiles remunerados.</t>
  </si>
  <si>
    <t xml:space="preserve">•  Licencia no remunerada: hasta 30 días calendario, sujeta a aprobación de Talento Humano.</t>
  </si>
  <si>
    <t xml:space="preserve">Beneficios extralegales</t>
  </si>
  <si>
    <t xml:space="preserve">•  Auxilio educativo del 50% de matrícula para hijos de colaboradores con más de 2 años de antigüedad.</t>
  </si>
  <si>
    <t xml:space="preserve">•  Bono de fin de año equivalente a un día de salario por cada año de antigüedad (máx. 10 días).</t>
  </si>
  <si>
    <t xml:space="preserve">•  Día libre en el mes de cumpleaños para todo el personal administrativo.</t>
  </si>
  <si>
    <t xml:space="preserve">•  Póliza de vida grupal para todos los colaboradores con contrato indefinido.</t>
  </si>
  <si>
    <t xml:space="preserve">•  Dos (2) días de trabajo remoto a la semana para personal administrativo (política de flexibilidad).</t>
  </si>
  <si>
    <t xml:space="preserve">Aprendices SENA</t>
  </si>
  <si>
    <t xml:space="preserve">•  Contrato de aprendizaje: etapa lectiva (50% SMLMV) y etapa práctica (75% SMLMV, sin recargo prestacional excepto ARL y EPS).</t>
  </si>
  <si>
    <t xml:space="preserve">•  Cuota mínima obligatoria según número de trabajadores, conforme a la Ley 789 de 2002.</t>
  </si>
  <si>
    <t xml:space="preserve">PARÁMETROS LEGALES DE NÓMINA — COLOMBIA (cifras de referencia, uso en simulación)</t>
  </si>
  <si>
    <t xml:space="preserve">Concepto</t>
  </si>
  <si>
    <t xml:space="preserve">Valor</t>
  </si>
  <si>
    <t xml:space="preserve">Observación</t>
  </si>
  <si>
    <t xml:space="preserve">Salario Mínimo Legal Mensual Vigente (SMLMV)</t>
  </si>
  <si>
    <t xml:space="preserve">COP/mes — referencia 2025</t>
  </si>
  <si>
    <t xml:space="preserve">Auxilio de Transporte</t>
  </si>
  <si>
    <t xml:space="preserve">COP/mes — aplica a quien gana ≤ 2 SMLMV</t>
  </si>
  <si>
    <t xml:space="preserve">Aporte Salud — Empleado</t>
  </si>
  <si>
    <t xml:space="preserve">% del salario básico</t>
  </si>
  <si>
    <t xml:space="preserve">Aporte Salud — Empleador</t>
  </si>
  <si>
    <t xml:space="preserve">% del salario básico (exonerado si el salario &lt; 10 SMLMV, Ley 1819/2016)</t>
  </si>
  <si>
    <t xml:space="preserve">Aporte Pensión — Empleado</t>
  </si>
  <si>
    <t xml:space="preserve">Aporte Pensión — Empleador</t>
  </si>
  <si>
    <t xml:space="preserve">Fondo de Solidaridad Pensional</t>
  </si>
  <si>
    <t xml:space="preserve">% adicional a empleados con salario ≥ 4 SMLMV (a cargo del empleado)</t>
  </si>
  <si>
    <t xml:space="preserve">Aporte Caja de Compensación Familiar</t>
  </si>
  <si>
    <t xml:space="preserve">% del salario básico — a cargo del empleador (Cajacopi Atlántico)</t>
  </si>
  <si>
    <t xml:space="preserve">Aporte ICBF</t>
  </si>
  <si>
    <t xml:space="preserve">% del salario básico — empleador (exonerado si salario &lt; 10 SMLMV)</t>
  </si>
  <si>
    <t xml:space="preserve">Aporte SENA</t>
  </si>
  <si>
    <t xml:space="preserve">Umbral de exoneración (10 SMLMV)</t>
  </si>
  <si>
    <t xml:space="preserve">COP — por encima de este valor NO aplica exoneración de Ley 1819</t>
  </si>
  <si>
    <t xml:space="preserve">8.33% del salario mensual — un salario por año, a fondo de cesantías</t>
  </si>
  <si>
    <t xml:space="preserve">Intereses sobre cesantías</t>
  </si>
  <si>
    <t xml:space="preserve">12% anual sobre el saldo de cesantías, pagado directo al trabajador</t>
  </si>
  <si>
    <t xml:space="preserve">8.33% del salario mensual — un salario por año, pagado en 2 cuotas (jun/dic)</t>
  </si>
  <si>
    <t xml:space="preserve">15 días hábiles remunerados por año — 4.17% del salario mensual</t>
  </si>
  <si>
    <t xml:space="preserve">Dotación (calzado y vestido de labor)</t>
  </si>
  <si>
    <t xml:space="preserve">veces al año — para quienes ganan ≤ 2 SMLMV (Código Sustantivo del Trabajo)</t>
  </si>
  <si>
    <t xml:space="preserve">Clases de riesgo ARL aplicadas en esta empresa (Decreto 1607 de 2002):</t>
  </si>
  <si>
    <t xml:space="preserve">Clase de riesgo</t>
  </si>
  <si>
    <t xml:space="preserve">Aplica a</t>
  </si>
  <si>
    <t xml:space="preserve">Clase I (0.522%)</t>
  </si>
  <si>
    <t xml:space="preserve">Personal administrativo, comercial y directivo (oficinas)</t>
  </si>
  <si>
    <t xml:space="preserve">Clase III (2.436%)</t>
  </si>
  <si>
    <t xml:space="preserve">Auxiliares de bodega, montacarguistas, mercaderistas</t>
  </si>
  <si>
    <t xml:space="preserve">Clase IV (4.350%)</t>
  </si>
  <si>
    <t xml:space="preserve">Conductores y auxiliares de reparto</t>
  </si>
  <si>
    <t xml:space="preserve">Clase V (6.960%)</t>
  </si>
  <si>
    <t xml:space="preserve">Personal de seguridad</t>
  </si>
  <si>
    <t xml:space="preserve">RESUMEN DE NÓMINA POR CARGO — DISTRIBUIDORA ANDINA FOODS S.A.S. (datos ficticios)</t>
  </si>
  <si>
    <t xml:space="preserve">Cargo</t>
  </si>
  <si>
    <t xml:space="preserve">Departamento</t>
  </si>
  <si>
    <t xml:space="preserve">N° empleados</t>
  </si>
  <si>
    <t xml:space="preserve">Salario básico promedio</t>
  </si>
  <si>
    <t xml:space="preserve">Salario básico mínimo</t>
  </si>
  <si>
    <t xml:space="preserve">Salario básico máximo</t>
  </si>
  <si>
    <t xml:space="preserve">Costo total empleador (mes)</t>
  </si>
  <si>
    <t xml:space="preserve">Gerente General (CEO)</t>
  </si>
  <si>
    <t xml:space="preserve">Dirección General</t>
  </si>
  <si>
    <t xml:space="preserve">Gerente Financiero y Administrativo</t>
  </si>
  <si>
    <t xml:space="preserve">Financiero y Administrativo</t>
  </si>
  <si>
    <t xml:space="preserve">Gerente Comercial y de Ventas</t>
  </si>
  <si>
    <t xml:space="preserve">Comercial y Ventas</t>
  </si>
  <si>
    <t xml:space="preserve">Gerente de Operaciones y Logística</t>
  </si>
  <si>
    <t xml:space="preserve">Operaciones y Logística</t>
  </si>
  <si>
    <t xml:space="preserve">Gerente de Talento Humano</t>
  </si>
  <si>
    <t xml:space="preserve">Talento Humano</t>
  </si>
  <si>
    <t xml:space="preserve">Jefe de Tecnología (TI)</t>
  </si>
  <si>
    <t xml:space="preserve">Tecnología</t>
  </si>
  <si>
    <t xml:space="preserve">Jefe de Ventas Canal Tradicional</t>
  </si>
  <si>
    <t xml:space="preserve">Jefe de Ventas Canal Moderno/Institucional</t>
  </si>
  <si>
    <t xml:space="preserve">Coordinador de Trade Marketing</t>
  </si>
  <si>
    <t xml:space="preserve">Jefe de Bodega y Almacenamiento</t>
  </si>
  <si>
    <t xml:space="preserve">Jefe de Flota y Distribución</t>
  </si>
  <si>
    <t xml:space="preserve">Coordinador de Compras y Abastecimiento</t>
  </si>
  <si>
    <t xml:space="preserve">Coordinador de Cartera y Cobranza</t>
  </si>
  <si>
    <t xml:space="preserve">Coordinador de Contabilidad</t>
  </si>
  <si>
    <t xml:space="preserve">Coordinador de Selección y Bienestar</t>
  </si>
  <si>
    <t xml:space="preserve">Coordinador de SST</t>
  </si>
  <si>
    <t xml:space="preserve">Supervisor de Bodega</t>
  </si>
  <si>
    <t xml:space="preserve">Analista de Trade Marketing</t>
  </si>
  <si>
    <t xml:space="preserve">Auxiliar de Cartera y Facturación</t>
  </si>
  <si>
    <t xml:space="preserve">Asesor Comercial de Ruta</t>
  </si>
  <si>
    <t xml:space="preserve">Mercaderista / Impulsadora</t>
  </si>
  <si>
    <t xml:space="preserve">Auxiliar de Bodega / Montacarguista</t>
  </si>
  <si>
    <t xml:space="preserve">Conductor / Auxiliar de Reparto</t>
  </si>
  <si>
    <t xml:space="preserve">Analista Administrativo y Financiero</t>
  </si>
  <si>
    <t xml:space="preserve">Soporte Técnico y Sistemas</t>
  </si>
  <si>
    <t xml:space="preserve">Servicios Generales y Seguridad</t>
  </si>
  <si>
    <t xml:space="preserve">Aprendiz SENA (etapa práctica)</t>
  </si>
  <si>
    <t xml:space="preserve">TOTAL EMPRESA</t>
  </si>
  <si>
    <t xml:space="preserve">No.</t>
  </si>
  <si>
    <t xml:space="preserve">Cédula</t>
  </si>
  <si>
    <t xml:space="preserve">Nombre completo</t>
  </si>
  <si>
    <t xml:space="preserve">Tipo de contrato</t>
  </si>
  <si>
    <t xml:space="preserve">Fecha de ingreso</t>
  </si>
  <si>
    <t xml:space="preserve">ARL (clase)</t>
  </si>
  <si>
    <t xml:space="preserve">EPS</t>
  </si>
  <si>
    <t xml:space="preserve">Fondo de Pensión (AFP)</t>
  </si>
  <si>
    <t xml:space="preserve">Salario básico</t>
  </si>
  <si>
    <t xml:space="preserve">Auxilio de transporte</t>
  </si>
  <si>
    <t xml:space="preserve">Salud (empleado)</t>
  </si>
  <si>
    <t xml:space="preserve">Pensión (empleado)</t>
  </si>
  <si>
    <t xml:space="preserve">Total deducciones</t>
  </si>
  <si>
    <t xml:space="preserve">Neto a pagar (mes)</t>
  </si>
  <si>
    <t xml:space="preserve">Salud (empleador)</t>
  </si>
  <si>
    <t xml:space="preserve">Pensión (empleador)</t>
  </si>
  <si>
    <t xml:space="preserve">Caja de Compensación</t>
  </si>
  <si>
    <t xml:space="preserve">Cesantías (mensual)</t>
  </si>
  <si>
    <t xml:space="preserve">Prima (mensual)</t>
  </si>
  <si>
    <t xml:space="preserve">Vacaciones (mensual)</t>
  </si>
  <si>
    <t xml:space="preserve">1029885207</t>
  </si>
  <si>
    <t xml:space="preserve">Carlos Andrés Meléndez Ruiz</t>
  </si>
  <si>
    <t xml:space="preserve">Indefinido</t>
  </si>
  <si>
    <t xml:space="preserve">I</t>
  </si>
  <si>
    <t xml:space="preserve">Nueva EPS</t>
  </si>
  <si>
    <t xml:space="preserve">Porvenir</t>
  </si>
  <si>
    <t xml:space="preserve">1199058447</t>
  </si>
  <si>
    <t xml:space="preserve">Diana Patricia Osorio Cantillo</t>
  </si>
  <si>
    <t xml:space="preserve">Salud Total</t>
  </si>
  <si>
    <t xml:space="preserve">Colpensiones</t>
  </si>
  <si>
    <t xml:space="preserve">1065737657</t>
  </si>
  <si>
    <t xml:space="preserve">Jorge Luis Herrera Barros</t>
  </si>
  <si>
    <t xml:space="preserve">Mutual SER</t>
  </si>
  <si>
    <t xml:space="preserve">Colfondos</t>
  </si>
  <si>
    <t xml:space="preserve">1037456926</t>
  </si>
  <si>
    <t xml:space="preserve">Marcela Isabel Torres Pacheco</t>
  </si>
  <si>
    <t xml:space="preserve">Coomeva EPS</t>
  </si>
  <si>
    <t xml:space="preserve">Protección</t>
  </si>
  <si>
    <t xml:space="preserve">1181650134</t>
  </si>
  <si>
    <t xml:space="preserve">Andrés Felipe Cárdenas Molina</t>
  </si>
  <si>
    <t xml:space="preserve">Sura EPS</t>
  </si>
  <si>
    <t xml:space="preserve">1023337464</t>
  </si>
  <si>
    <t xml:space="preserve">Laura Sofía Restrepo Vega</t>
  </si>
  <si>
    <t xml:space="preserve">1113258777</t>
  </si>
  <si>
    <t xml:space="preserve">Ana María Salcedo Iguarán</t>
  </si>
  <si>
    <t xml:space="preserve">1007998630</t>
  </si>
  <si>
    <t xml:space="preserve">Rodrigo Enrique Blanco Cervantes</t>
  </si>
  <si>
    <t xml:space="preserve">1058690184</t>
  </si>
  <si>
    <t xml:space="preserve">Katherine Julissa Noriega Amaya</t>
  </si>
  <si>
    <t xml:space="preserve">1135655277</t>
  </si>
  <si>
    <t xml:space="preserve">Hernán Darío Fontalvo Redondo</t>
  </si>
  <si>
    <t xml:space="preserve">III</t>
  </si>
  <si>
    <t xml:space="preserve">1007123195</t>
  </si>
  <si>
    <t xml:space="preserve">Iván Mauricio Charris Barrios</t>
  </si>
  <si>
    <t xml:space="preserve">IV</t>
  </si>
  <si>
    <t xml:space="preserve">1053375074</t>
  </si>
  <si>
    <t xml:space="preserve">Silvia Johana Deluque Pinedo</t>
  </si>
  <si>
    <t xml:space="preserve">1188260488</t>
  </si>
  <si>
    <t xml:space="preserve">Camilo Andrés Escorcia Villalobos</t>
  </si>
  <si>
    <t xml:space="preserve">1112613994</t>
  </si>
  <si>
    <t xml:space="preserve">Adriana Lucía Cepeda Manjarrés</t>
  </si>
  <si>
    <t xml:space="preserve">1120583634</t>
  </si>
  <si>
    <t xml:space="preserve">Vanessa María Contreras Guerra</t>
  </si>
  <si>
    <t xml:space="preserve">1001744497</t>
  </si>
  <si>
    <t xml:space="preserve">Óscar Enrique Cuello Pumarejo</t>
  </si>
  <si>
    <t xml:space="preserve">1057797847</t>
  </si>
  <si>
    <t xml:space="preserve">Mauricio Cepeda Ramírez</t>
  </si>
  <si>
    <t xml:space="preserve">1092329911</t>
  </si>
  <si>
    <t xml:space="preserve">Ana Restrepo Castro</t>
  </si>
  <si>
    <t xml:space="preserve">1033507767</t>
  </si>
  <si>
    <t xml:space="preserve">Liliana Herrera Noriega</t>
  </si>
  <si>
    <t xml:space="preserve">1166032631</t>
  </si>
  <si>
    <t xml:space="preserve">Laura Guerra Martínez</t>
  </si>
  <si>
    <t xml:space="preserve">1177506521</t>
  </si>
  <si>
    <t xml:space="preserve">Johana Iguarán Julio</t>
  </si>
  <si>
    <t xml:space="preserve">1102039357</t>
  </si>
  <si>
    <t xml:space="preserve">Felipe Martínez Restrepo</t>
  </si>
  <si>
    <t xml:space="preserve">1095367253</t>
  </si>
  <si>
    <t xml:space="preserve">Isabel Redondo Vargas</t>
  </si>
  <si>
    <t xml:space="preserve">1019166965</t>
  </si>
  <si>
    <t xml:space="preserve">Gabriel Gómez Cantillo</t>
  </si>
  <si>
    <t xml:space="preserve">1101859295</t>
  </si>
  <si>
    <t xml:space="preserve">Manuel Noriega Pérez</t>
  </si>
  <si>
    <t xml:space="preserve">1183774738</t>
  </si>
  <si>
    <t xml:space="preserve">Gloria Redondo Cantillo</t>
  </si>
  <si>
    <t xml:space="preserve">1008616842</t>
  </si>
  <si>
    <t xml:space="preserve">Ximena Pumarejo Pumarejo</t>
  </si>
  <si>
    <t xml:space="preserve">1192713644</t>
  </si>
  <si>
    <t xml:space="preserve">Valentina Gómez Cárdenas</t>
  </si>
  <si>
    <t xml:space="preserve">1172564235</t>
  </si>
  <si>
    <t xml:space="preserve">Alejandra Barrios Solano</t>
  </si>
  <si>
    <t xml:space="preserve">1150691111</t>
  </si>
  <si>
    <t xml:space="preserve">María Rodríguez Pacheco</t>
  </si>
  <si>
    <t xml:space="preserve">1097172681</t>
  </si>
  <si>
    <t xml:space="preserve">Katherine Charris Cepeda</t>
  </si>
  <si>
    <t xml:space="preserve">1012647705</t>
  </si>
  <si>
    <t xml:space="preserve">Miguel Peña Solano</t>
  </si>
  <si>
    <t xml:space="preserve">1017053089</t>
  </si>
  <si>
    <t xml:space="preserve">Miguel Redondo Vega</t>
  </si>
  <si>
    <t xml:space="preserve">1148505445</t>
  </si>
  <si>
    <t xml:space="preserve">Valentina Deluque Contreras</t>
  </si>
  <si>
    <t xml:space="preserve">1071625340</t>
  </si>
  <si>
    <t xml:space="preserve">Gabriel Noriega Barros</t>
  </si>
  <si>
    <t xml:space="preserve">1000871157</t>
  </si>
  <si>
    <t xml:space="preserve">Ana Martínez Cepeda</t>
  </si>
  <si>
    <t xml:space="preserve">1167852742</t>
  </si>
  <si>
    <t xml:space="preserve">Andrea Cuello Salcedo</t>
  </si>
  <si>
    <t xml:space="preserve">1041027479</t>
  </si>
  <si>
    <t xml:space="preserve">Ximena Redondo Peña</t>
  </si>
  <si>
    <t xml:space="preserve">1160777963</t>
  </si>
  <si>
    <t xml:space="preserve">Adriana Vega Acosta</t>
  </si>
  <si>
    <t xml:space="preserve">1064277491</t>
  </si>
  <si>
    <t xml:space="preserve">Daniela Osorio Barros</t>
  </si>
  <si>
    <t xml:space="preserve">1130457070</t>
  </si>
  <si>
    <t xml:space="preserve">Eduardo Fontalvo Restrepo</t>
  </si>
  <si>
    <t xml:space="preserve">1177100512</t>
  </si>
  <si>
    <t xml:space="preserve">Felipe Acosta Pumarejo</t>
  </si>
  <si>
    <t xml:space="preserve">1113585225</t>
  </si>
  <si>
    <t xml:space="preserve">Cristina Vega Rodríguez</t>
  </si>
  <si>
    <t xml:space="preserve">1083675705</t>
  </si>
  <si>
    <t xml:space="preserve">Enrique Acosta Cuello</t>
  </si>
  <si>
    <t xml:space="preserve">1121194888</t>
  </si>
  <si>
    <t xml:space="preserve">Vanessa Barrios Vargas</t>
  </si>
  <si>
    <t xml:space="preserve">1157922918</t>
  </si>
  <si>
    <t xml:space="preserve">Eduardo Cervantes Cárdenas</t>
  </si>
  <si>
    <t xml:space="preserve">1169410411</t>
  </si>
  <si>
    <t xml:space="preserve">Óscar Cervantes Meléndez</t>
  </si>
  <si>
    <t xml:space="preserve">1138017733</t>
  </si>
  <si>
    <t xml:space="preserve">Eduardo Cárdenas Herrera</t>
  </si>
  <si>
    <t xml:space="preserve">1035517190</t>
  </si>
  <si>
    <t xml:space="preserve">Fernando Escorcia Solano</t>
  </si>
  <si>
    <t xml:space="preserve">1026019666</t>
  </si>
  <si>
    <t xml:space="preserve">Claudia Duarte Rueda</t>
  </si>
  <si>
    <t xml:space="preserve">1014541466</t>
  </si>
  <si>
    <t xml:space="preserve">Lucía Cepeda Rueda</t>
  </si>
  <si>
    <t xml:space="preserve">1029331682</t>
  </si>
  <si>
    <t xml:space="preserve">Jorge Ortiz Noriega</t>
  </si>
  <si>
    <t xml:space="preserve">1113247990</t>
  </si>
  <si>
    <t xml:space="preserve">Julio Iguarán Acosta</t>
  </si>
  <si>
    <t xml:space="preserve">1147726826</t>
  </si>
  <si>
    <t xml:space="preserve">Fernando Contreras Pérez</t>
  </si>
  <si>
    <t xml:space="preserve">1063452636</t>
  </si>
  <si>
    <t xml:space="preserve">Jorge Barrios Acosta</t>
  </si>
  <si>
    <t xml:space="preserve">1015739821</t>
  </si>
  <si>
    <t xml:space="preserve">Camilo Solano Duarte</t>
  </si>
  <si>
    <t xml:space="preserve">1122140379</t>
  </si>
  <si>
    <t xml:space="preserve">Diego Meléndez Castro</t>
  </si>
  <si>
    <t xml:space="preserve">1192846252</t>
  </si>
  <si>
    <t xml:space="preserve">Camila Cantillo Noriega</t>
  </si>
  <si>
    <t xml:space="preserve">1155472524</t>
  </si>
  <si>
    <t xml:space="preserve">María Iguarán Martínez</t>
  </si>
  <si>
    <t xml:space="preserve">1127986942</t>
  </si>
  <si>
    <t xml:space="preserve">Pedro González Torres</t>
  </si>
  <si>
    <t xml:space="preserve">1159728520</t>
  </si>
  <si>
    <t xml:space="preserve">Jorge Peña Restrepo</t>
  </si>
  <si>
    <t xml:space="preserve">1066092929</t>
  </si>
  <si>
    <t xml:space="preserve">Gabriel Pérez Ortiz</t>
  </si>
  <si>
    <t xml:space="preserve">1140333417</t>
  </si>
  <si>
    <t xml:space="preserve">Hernán Restrepo Rueda</t>
  </si>
  <si>
    <t xml:space="preserve">1071300353</t>
  </si>
  <si>
    <t xml:space="preserve">Gloria Rodríguez Blanco</t>
  </si>
  <si>
    <t xml:space="preserve">1084873168</t>
  </si>
  <si>
    <t xml:space="preserve">María Escorcia Barrios</t>
  </si>
  <si>
    <t xml:space="preserve">1019665774</t>
  </si>
  <si>
    <t xml:space="preserve">Carlos Contreras Pinedo</t>
  </si>
  <si>
    <t xml:space="preserve">1065574598</t>
  </si>
  <si>
    <t xml:space="preserve">Rodrigo Rodríguez Pacheco</t>
  </si>
  <si>
    <t xml:space="preserve">1081206326</t>
  </si>
  <si>
    <t xml:space="preserve">Paola Vega Manjarrés</t>
  </si>
  <si>
    <t xml:space="preserve">1070992030</t>
  </si>
  <si>
    <t xml:space="preserve">Gabriel Guerra López</t>
  </si>
  <si>
    <t xml:space="preserve">1073107917</t>
  </si>
  <si>
    <t xml:space="preserve">Marcos Cantillo Amaya</t>
  </si>
  <si>
    <t xml:space="preserve">1184548605</t>
  </si>
  <si>
    <t xml:space="preserve">Yolanda Blanco Julio</t>
  </si>
  <si>
    <t xml:space="preserve">1170264434</t>
  </si>
  <si>
    <t xml:space="preserve">Andrea Solano Rodríguez</t>
  </si>
  <si>
    <t xml:space="preserve">1035116634</t>
  </si>
  <si>
    <t xml:space="preserve">Ximena Gómez Herrera</t>
  </si>
  <si>
    <t xml:space="preserve">1150567291</t>
  </si>
  <si>
    <t xml:space="preserve">Patricia Amaya Manjarrés</t>
  </si>
  <si>
    <t xml:space="preserve">Fijo (1 año)</t>
  </si>
  <si>
    <t xml:space="preserve">1146455779</t>
  </si>
  <si>
    <t xml:space="preserve">Luis Cárdenas Cantillo</t>
  </si>
  <si>
    <t xml:space="preserve">1115369993</t>
  </si>
  <si>
    <t xml:space="preserve">Emilio Vargas Charris</t>
  </si>
  <si>
    <t xml:space="preserve">1096048684</t>
  </si>
  <si>
    <t xml:space="preserve">Jorge López Vargas</t>
  </si>
  <si>
    <t xml:space="preserve">1094939884</t>
  </si>
  <si>
    <t xml:space="preserve">Gabriel Pérez Escorcia</t>
  </si>
  <si>
    <t xml:space="preserve">1043621235</t>
  </si>
  <si>
    <t xml:space="preserve">Yolanda Amaya Molina</t>
  </si>
  <si>
    <t xml:space="preserve">1197720018</t>
  </si>
  <si>
    <t xml:space="preserve">Marcos Rueda Osorio</t>
  </si>
  <si>
    <t xml:space="preserve">1071620112</t>
  </si>
  <si>
    <t xml:space="preserve">Liliana Rueda Escorcia</t>
  </si>
  <si>
    <t xml:space="preserve">1010395056</t>
  </si>
  <si>
    <t xml:space="preserve">Santiago Cantillo Cantillo</t>
  </si>
  <si>
    <t xml:space="preserve">1081924049</t>
  </si>
  <si>
    <t xml:space="preserve">Claudia Iguarán Contreras</t>
  </si>
  <si>
    <t xml:space="preserve">1106962397</t>
  </si>
  <si>
    <t xml:space="preserve">Eduardo Osorio Escorcia</t>
  </si>
  <si>
    <t xml:space="preserve">1094260071</t>
  </si>
  <si>
    <t xml:space="preserve">Sandra Cárdenas Pumarejo</t>
  </si>
  <si>
    <t xml:space="preserve">1030961814</t>
  </si>
  <si>
    <t xml:space="preserve">Vanessa Acosta Ramírez</t>
  </si>
  <si>
    <t xml:space="preserve">1029099087</t>
  </si>
  <si>
    <t xml:space="preserve">Patricia Charris Rodríguez</t>
  </si>
  <si>
    <t xml:space="preserve">1162727949</t>
  </si>
  <si>
    <t xml:space="preserve">Lucía Noriega González</t>
  </si>
  <si>
    <t xml:space="preserve">1011914918</t>
  </si>
  <si>
    <t xml:space="preserve">Diego Fontalvo Iguarán</t>
  </si>
  <si>
    <t xml:space="preserve">1097769957</t>
  </si>
  <si>
    <t xml:space="preserve">Diana Ustáriz Acosta</t>
  </si>
  <si>
    <t xml:space="preserve">1178076718</t>
  </si>
  <si>
    <t xml:space="preserve">Laura Escorcia Ramírez</t>
  </si>
  <si>
    <t xml:space="preserve">1087559056</t>
  </si>
  <si>
    <t xml:space="preserve">Pedro López Peña</t>
  </si>
  <si>
    <t xml:space="preserve">1112862703</t>
  </si>
  <si>
    <t xml:space="preserve">Silvia Martínez Guerra</t>
  </si>
  <si>
    <t xml:space="preserve">1080785617</t>
  </si>
  <si>
    <t xml:space="preserve">Vanessa Amaya Salcedo</t>
  </si>
  <si>
    <t xml:space="preserve">1115397220</t>
  </si>
  <si>
    <t xml:space="preserve">Cristina Meléndez López</t>
  </si>
  <si>
    <t xml:space="preserve">1127019948</t>
  </si>
  <si>
    <t xml:space="preserve">Isabel Manjarrés Manjarrés</t>
  </si>
  <si>
    <t xml:space="preserve">1089976413</t>
  </si>
  <si>
    <t xml:space="preserve">Gabriel Restrepo Martínez</t>
  </si>
  <si>
    <t xml:space="preserve">1053453534</t>
  </si>
  <si>
    <t xml:space="preserve">Emilio Cuello Pérez</t>
  </si>
  <si>
    <t xml:space="preserve">1019549679</t>
  </si>
  <si>
    <t xml:space="preserve">Carlos Herrera Pérez</t>
  </si>
  <si>
    <t xml:space="preserve">1132708361</t>
  </si>
  <si>
    <t xml:space="preserve">Camila Redondo Fontalvo</t>
  </si>
  <si>
    <t xml:space="preserve">1114124313</t>
  </si>
  <si>
    <t xml:space="preserve">Claudia Molina Barrios</t>
  </si>
  <si>
    <t xml:space="preserve">1149627479</t>
  </si>
  <si>
    <t xml:space="preserve">Rafael Cantillo Ustáriz</t>
  </si>
  <si>
    <t xml:space="preserve">1179201532</t>
  </si>
  <si>
    <t xml:space="preserve">Enrique Barros Contreras</t>
  </si>
  <si>
    <t xml:space="preserve">1147068257</t>
  </si>
  <si>
    <t xml:space="preserve">Adriana Manjarrés Pinedo</t>
  </si>
  <si>
    <t xml:space="preserve">1069576201</t>
  </si>
  <si>
    <t xml:space="preserve">Beatriz Vega Amaya</t>
  </si>
  <si>
    <t xml:space="preserve">1168241502</t>
  </si>
  <si>
    <t xml:space="preserve">Emilio Redondo Gómez</t>
  </si>
  <si>
    <t xml:space="preserve">1072937969</t>
  </si>
  <si>
    <t xml:space="preserve">Fernando Manjarrés Cárdenas</t>
  </si>
  <si>
    <t xml:space="preserve">1062078781</t>
  </si>
  <si>
    <t xml:space="preserve">Carolina Acosta Restrepo</t>
  </si>
  <si>
    <t xml:space="preserve">1111365253</t>
  </si>
  <si>
    <t xml:space="preserve">Silvia Molina Julio</t>
  </si>
  <si>
    <t xml:space="preserve">1055521683</t>
  </si>
  <si>
    <t xml:space="preserve">Carolina Acosta Contreras</t>
  </si>
  <si>
    <t xml:space="preserve">1102107755</t>
  </si>
  <si>
    <t xml:space="preserve">Valentina Pumarejo Charris</t>
  </si>
  <si>
    <t xml:space="preserve">1144477482</t>
  </si>
  <si>
    <t xml:space="preserve">Diana Díaz López</t>
  </si>
  <si>
    <t xml:space="preserve">1007791291</t>
  </si>
  <si>
    <t xml:space="preserve">Iván Cervantes Gómez</t>
  </si>
  <si>
    <t xml:space="preserve">1125464087</t>
  </si>
  <si>
    <t xml:space="preserve">Carolina Escorcia Villalobos</t>
  </si>
  <si>
    <t xml:space="preserve">1151502819</t>
  </si>
  <si>
    <t xml:space="preserve">Hernán Acosta Osorio</t>
  </si>
  <si>
    <t xml:space="preserve">1048782514</t>
  </si>
  <si>
    <t xml:space="preserve">Andrés Barrios Cepeda</t>
  </si>
  <si>
    <t xml:space="preserve">1087737003</t>
  </si>
  <si>
    <t xml:space="preserve">Fernando Castro González</t>
  </si>
  <si>
    <t xml:space="preserve">1021986536</t>
  </si>
  <si>
    <t xml:space="preserve">Adriana Castro Gómez</t>
  </si>
  <si>
    <t xml:space="preserve">1060189178</t>
  </si>
  <si>
    <t xml:space="preserve">Diana Amaya Acosta</t>
  </si>
  <si>
    <t xml:space="preserve">1053515475</t>
  </si>
  <si>
    <t xml:space="preserve">Felipe Barrios Herrera</t>
  </si>
  <si>
    <t xml:space="preserve">1179706491</t>
  </si>
  <si>
    <t xml:space="preserve">Hernán Molina Pérez</t>
  </si>
  <si>
    <t xml:space="preserve">1045040555</t>
  </si>
  <si>
    <t xml:space="preserve">Óscar Blanco Contreras</t>
  </si>
  <si>
    <t xml:space="preserve">1006892998</t>
  </si>
  <si>
    <t xml:space="preserve">Felipe Vega López</t>
  </si>
  <si>
    <t xml:space="preserve">1020400148</t>
  </si>
  <si>
    <t xml:space="preserve">Johana Villalobos Castro</t>
  </si>
  <si>
    <t xml:space="preserve">1032495470</t>
  </si>
  <si>
    <t xml:space="preserve">Luis Cantillo Pumarejo</t>
  </si>
  <si>
    <t xml:space="preserve">1135817815</t>
  </si>
  <si>
    <t xml:space="preserve">Guillermo Acosta Cepeda</t>
  </si>
  <si>
    <t xml:space="preserve">1097224110</t>
  </si>
  <si>
    <t xml:space="preserve">Diana Rueda Solano</t>
  </si>
  <si>
    <t xml:space="preserve">1174605833</t>
  </si>
  <si>
    <t xml:space="preserve">Silvia Molina Cepeda</t>
  </si>
  <si>
    <t xml:space="preserve">1116923636</t>
  </si>
  <si>
    <t xml:space="preserve">Yolanda Acosta Pumarejo</t>
  </si>
  <si>
    <t xml:space="preserve">1065461592</t>
  </si>
  <si>
    <t xml:space="preserve">Carolina Pérez Restrepo</t>
  </si>
  <si>
    <t xml:space="preserve">1007704096</t>
  </si>
  <si>
    <t xml:space="preserve">Johana Pinedo Escorcia</t>
  </si>
  <si>
    <t xml:space="preserve">1095247600</t>
  </si>
  <si>
    <t xml:space="preserve">Natalia González Salcedo</t>
  </si>
  <si>
    <t xml:space="preserve">1149194018</t>
  </si>
  <si>
    <t xml:space="preserve">Carolina Gómez Deluque</t>
  </si>
  <si>
    <t xml:space="preserve">1131151617</t>
  </si>
  <si>
    <t xml:space="preserve">Rodrigo Iguarán Restrepo</t>
  </si>
  <si>
    <t xml:space="preserve">1120305938</t>
  </si>
  <si>
    <t xml:space="preserve">Mauricio Duarte Barrios</t>
  </si>
  <si>
    <t xml:space="preserve">1065311732</t>
  </si>
  <si>
    <t xml:space="preserve">Andrés Martínez Cervantes</t>
  </si>
  <si>
    <t xml:space="preserve">1142518271</t>
  </si>
  <si>
    <t xml:space="preserve">Vanessa Charris Vargas</t>
  </si>
  <si>
    <t xml:space="preserve">1188671187</t>
  </si>
  <si>
    <t xml:space="preserve">Camila Amaya Guerra</t>
  </si>
  <si>
    <t xml:space="preserve">1193618289</t>
  </si>
  <si>
    <t xml:space="preserve">Sandra López Rodríguez</t>
  </si>
  <si>
    <t xml:space="preserve">1049700783</t>
  </si>
  <si>
    <t xml:space="preserve">Álvaro Barros Amaya</t>
  </si>
  <si>
    <t xml:space="preserve">1140831137</t>
  </si>
  <si>
    <t xml:space="preserve">Julio Amaya Duarte</t>
  </si>
  <si>
    <t xml:space="preserve">1048168473</t>
  </si>
  <si>
    <t xml:space="preserve">Ana Iguarán Martínez</t>
  </si>
  <si>
    <t xml:space="preserve">1012218027</t>
  </si>
  <si>
    <t xml:space="preserve">Diana Julio Acosta</t>
  </si>
  <si>
    <t xml:space="preserve">1131769247</t>
  </si>
  <si>
    <t xml:space="preserve">Manuel Martínez Cantillo</t>
  </si>
  <si>
    <t xml:space="preserve">1128503866</t>
  </si>
  <si>
    <t xml:space="preserve">Adrián Meléndez Fontalvo</t>
  </si>
  <si>
    <t xml:space="preserve">1030625032</t>
  </si>
  <si>
    <t xml:space="preserve">Carolina Salcedo Torres</t>
  </si>
  <si>
    <t xml:space="preserve">1184267793</t>
  </si>
  <si>
    <t xml:space="preserve">Diego Solano Cárdenas</t>
  </si>
  <si>
    <t xml:space="preserve">1066623252</t>
  </si>
  <si>
    <t xml:space="preserve">Miguel Molina Fontalvo</t>
  </si>
  <si>
    <t xml:space="preserve">1166005412</t>
  </si>
  <si>
    <t xml:space="preserve">Manuel Cuello Rueda</t>
  </si>
  <si>
    <t xml:space="preserve">1079820122</t>
  </si>
  <si>
    <t xml:space="preserve">Felipe Ustáriz Castro</t>
  </si>
  <si>
    <t xml:space="preserve">1198666211</t>
  </si>
  <si>
    <t xml:space="preserve">Paola Fontalvo Pinedo</t>
  </si>
  <si>
    <t xml:space="preserve">1177282329</t>
  </si>
  <si>
    <t xml:space="preserve">Felipe Blanco Redondo</t>
  </si>
  <si>
    <t xml:space="preserve">1042018905</t>
  </si>
  <si>
    <t xml:space="preserve">Rafael Pérez Salcedo</t>
  </si>
  <si>
    <t xml:space="preserve">1078184321</t>
  </si>
  <si>
    <t xml:space="preserve">Camilo Manjarrés Cantillo</t>
  </si>
  <si>
    <t xml:space="preserve">1019107171</t>
  </si>
  <si>
    <t xml:space="preserve">Eduardo Martínez Julio</t>
  </si>
  <si>
    <t xml:space="preserve">1114122373</t>
  </si>
  <si>
    <t xml:space="preserve">Enrique Rodríguez Redondo</t>
  </si>
  <si>
    <t xml:space="preserve">1038181262</t>
  </si>
  <si>
    <t xml:space="preserve">Manuel Cervantes Barrios</t>
  </si>
  <si>
    <t xml:space="preserve">1117884357</t>
  </si>
  <si>
    <t xml:space="preserve">Jorge Vega López</t>
  </si>
  <si>
    <t xml:space="preserve">1073080530</t>
  </si>
  <si>
    <t xml:space="preserve">Sebastián Cantillo López</t>
  </si>
  <si>
    <t xml:space="preserve">1197174949</t>
  </si>
  <si>
    <t xml:space="preserve">Isabel Restrepo Deluque</t>
  </si>
  <si>
    <t xml:space="preserve">1181005589</t>
  </si>
  <si>
    <t xml:space="preserve">Yolanda Rodríguez Osorio</t>
  </si>
  <si>
    <t xml:space="preserve">1047027403</t>
  </si>
  <si>
    <t xml:space="preserve">Felipe Villalobos Gómez</t>
  </si>
  <si>
    <t xml:space="preserve">1048718120</t>
  </si>
  <si>
    <t xml:space="preserve">Andrea Barrios Manjarrés</t>
  </si>
  <si>
    <t xml:space="preserve">1109615107</t>
  </si>
  <si>
    <t xml:space="preserve">Mónica Solano Restrepo</t>
  </si>
  <si>
    <t xml:space="preserve">1088530997</t>
  </si>
  <si>
    <t xml:space="preserve">Carolina Escorcia Cantillo</t>
  </si>
  <si>
    <t xml:space="preserve">1147665435</t>
  </si>
  <si>
    <t xml:space="preserve">Silvia Solano Martínez</t>
  </si>
  <si>
    <t xml:space="preserve">1031117467</t>
  </si>
  <si>
    <t xml:space="preserve">Sebastián Restrepo González</t>
  </si>
  <si>
    <t xml:space="preserve">1110930301</t>
  </si>
  <si>
    <t xml:space="preserve">Natalia Peña Meléndez</t>
  </si>
  <si>
    <t xml:space="preserve">1167881881</t>
  </si>
  <si>
    <t xml:space="preserve">Julio Ustáriz Vargas</t>
  </si>
  <si>
    <t xml:space="preserve">1035168595</t>
  </si>
  <si>
    <t xml:space="preserve">Adriana Torres Blanco</t>
  </si>
  <si>
    <t xml:space="preserve">1169120316</t>
  </si>
  <si>
    <t xml:space="preserve">Isabel Cantillo Solano</t>
  </si>
  <si>
    <t xml:space="preserve">1148243859</t>
  </si>
  <si>
    <t xml:space="preserve">Mauricio Vega López</t>
  </si>
  <si>
    <t xml:space="preserve">1173868245</t>
  </si>
  <si>
    <t xml:space="preserve">Laura Cervantes Barros</t>
  </si>
  <si>
    <t xml:space="preserve">V</t>
  </si>
  <si>
    <t xml:space="preserve">1073396936</t>
  </si>
  <si>
    <t xml:space="preserve">Iván Julio Martínez</t>
  </si>
  <si>
    <t xml:space="preserve">1147979092</t>
  </si>
  <si>
    <t xml:space="preserve">Ximena Duarte Duarte</t>
  </si>
  <si>
    <t xml:space="preserve">1036643679</t>
  </si>
  <si>
    <t xml:space="preserve">Diego Iguarán Deluque</t>
  </si>
  <si>
    <t xml:space="preserve">1136294795</t>
  </si>
  <si>
    <t xml:space="preserve">Fernando Pumarejo Rueda</t>
  </si>
  <si>
    <t xml:space="preserve">1157554894</t>
  </si>
  <si>
    <t xml:space="preserve">Ximena Meléndez Martínez</t>
  </si>
  <si>
    <t xml:space="preserve">1092643503</t>
  </si>
  <si>
    <t xml:space="preserve">Natalia Molina Manjarrés</t>
  </si>
  <si>
    <t xml:space="preserve">1086376449</t>
  </si>
  <si>
    <t xml:space="preserve">Cristina Cuello Acosta</t>
  </si>
  <si>
    <t xml:space="preserve">1062696440</t>
  </si>
  <si>
    <t xml:space="preserve">Mauricio Pérez Fontalvo</t>
  </si>
  <si>
    <t xml:space="preserve">Aprendizaje</t>
  </si>
  <si>
    <t xml:space="preserve">N/A (aprendiz)</t>
  </si>
  <si>
    <t xml:space="preserve">1189308167</t>
  </si>
  <si>
    <t xml:space="preserve">Marcela González Amaya</t>
  </si>
  <si>
    <t xml:space="preserve">1132963770</t>
  </si>
  <si>
    <t xml:space="preserve">Valentina Escorcia Barrios</t>
  </si>
  <si>
    <t xml:space="preserve">1026941416</t>
  </si>
  <si>
    <t xml:space="preserve">Miguel Peña Charris</t>
  </si>
  <si>
    <t xml:space="preserve">1193929538</t>
  </si>
  <si>
    <t xml:space="preserve">Ana Ustáriz Contreras</t>
  </si>
  <si>
    <t xml:space="preserve">1126027923</t>
  </si>
  <si>
    <t xml:space="preserve">Camilo Barrios Molina</t>
  </si>
  <si>
    <t xml:space="preserve">1174439199</t>
  </si>
  <si>
    <t xml:space="preserve">Carolina Pinedo Cantillo</t>
  </si>
  <si>
    <t xml:space="preserve">TOTAL / PROMEDIO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</si>
</sst>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0"/>
    <numFmt numFmtId="168" formatCode="dd/mm/yyyy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2F2F2"/>
      </patternFill>
    </fill>
    <fill>
      <patternFill patternType="solid">
        <fgColor rgb="FFF2F2F2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5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6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9.5" hidden="false" customHeight="true" outlineLevel="0" collapsed="false">
      <c r="B5" s="3" t="s">
        <v>2</v>
      </c>
      <c r="C5" s="3"/>
      <c r="D5" s="3"/>
      <c r="E5" s="3"/>
      <c r="F5" s="3"/>
      <c r="G5" s="3"/>
      <c r="H5" s="3"/>
    </row>
    <row r="6" customFormat="false" ht="18" hidden="false" customHeight="true" outlineLevel="0" collapsed="false">
      <c r="B6" s="4" t="s">
        <v>3</v>
      </c>
      <c r="C6" s="4"/>
      <c r="D6" s="4"/>
      <c r="E6" s="4"/>
      <c r="F6" s="4"/>
      <c r="G6" s="4"/>
      <c r="H6" s="4"/>
    </row>
    <row r="7" customFormat="false" ht="18" hidden="false" customHeight="true" outlineLevel="0" collapsed="false">
      <c r="B7" s="4" t="s">
        <v>4</v>
      </c>
      <c r="C7" s="4"/>
      <c r="D7" s="4"/>
      <c r="E7" s="4"/>
      <c r="F7" s="4"/>
      <c r="G7" s="4"/>
      <c r="H7" s="4"/>
    </row>
    <row r="8" customFormat="false" ht="18" hidden="false" customHeight="true" outlineLevel="0" collapsed="false">
      <c r="B8" s="4" t="s">
        <v>5</v>
      </c>
      <c r="C8" s="4"/>
      <c r="D8" s="4"/>
      <c r="E8" s="4"/>
      <c r="F8" s="4"/>
      <c r="G8" s="4"/>
      <c r="H8" s="4"/>
    </row>
    <row r="9" customFormat="false" ht="18" hidden="false" customHeight="true" outlineLevel="0" collapsed="false">
      <c r="B9" s="4" t="s">
        <v>6</v>
      </c>
      <c r="C9" s="4"/>
      <c r="D9" s="4"/>
      <c r="E9" s="4"/>
      <c r="F9" s="4"/>
      <c r="G9" s="4"/>
      <c r="H9" s="4"/>
    </row>
    <row r="10" customFormat="false" ht="18" hidden="false" customHeight="true" outlineLevel="0" collapsed="false">
      <c r="B10" s="4" t="s">
        <v>7</v>
      </c>
      <c r="C10" s="4"/>
      <c r="D10" s="4"/>
      <c r="E10" s="4"/>
      <c r="F10" s="4"/>
      <c r="G10" s="4"/>
      <c r="H10" s="4"/>
    </row>
    <row r="12" customFormat="false" ht="19.5" hidden="false" customHeight="true" outlineLevel="0" collapsed="false">
      <c r="B12" s="3" t="s">
        <v>8</v>
      </c>
      <c r="C12" s="3"/>
      <c r="D12" s="3"/>
      <c r="E12" s="3"/>
      <c r="F12" s="3"/>
      <c r="G12" s="3"/>
      <c r="H12" s="3"/>
    </row>
    <row r="13" customFormat="false" ht="18" hidden="false" customHeight="true" outlineLevel="0" collapsed="false">
      <c r="B13" s="4" t="s">
        <v>9</v>
      </c>
      <c r="C13" s="4"/>
      <c r="D13" s="4"/>
      <c r="E13" s="4"/>
      <c r="F13" s="4"/>
      <c r="G13" s="4"/>
      <c r="H13" s="4"/>
    </row>
    <row r="14" customFormat="false" ht="18" hidden="false" customHeight="true" outlineLevel="0" collapsed="false">
      <c r="B14" s="4" t="s">
        <v>10</v>
      </c>
      <c r="C14" s="4"/>
      <c r="D14" s="4"/>
      <c r="E14" s="4"/>
      <c r="F14" s="4"/>
      <c r="G14" s="4"/>
      <c r="H14" s="4"/>
    </row>
    <row r="15" customFormat="false" ht="18" hidden="false" customHeight="true" outlineLevel="0" collapsed="false">
      <c r="B15" s="4" t="s">
        <v>11</v>
      </c>
      <c r="C15" s="4"/>
      <c r="D15" s="4"/>
      <c r="E15" s="4"/>
      <c r="F15" s="4"/>
      <c r="G15" s="4"/>
      <c r="H15" s="4"/>
    </row>
    <row r="17" customFormat="false" ht="19.5" hidden="false" customHeight="true" outlineLevel="0" collapsed="false">
      <c r="B17" s="3" t="s">
        <v>12</v>
      </c>
      <c r="C17" s="3"/>
      <c r="D17" s="3"/>
      <c r="E17" s="3"/>
      <c r="F17" s="3"/>
      <c r="G17" s="3"/>
      <c r="H17" s="3"/>
    </row>
    <row r="18" customFormat="false" ht="18" hidden="false" customHeight="true" outlineLevel="0" collapsed="false">
      <c r="B18" s="4" t="s">
        <v>13</v>
      </c>
      <c r="C18" s="4"/>
      <c r="D18" s="4"/>
      <c r="E18" s="4"/>
      <c r="F18" s="4"/>
      <c r="G18" s="4"/>
      <c r="H18" s="4"/>
    </row>
    <row r="19" customFormat="false" ht="18" hidden="false" customHeight="true" outlineLevel="0" collapsed="false">
      <c r="B19" s="4" t="s">
        <v>14</v>
      </c>
      <c r="C19" s="4"/>
      <c r="D19" s="4"/>
      <c r="E19" s="4"/>
      <c r="F19" s="4"/>
      <c r="G19" s="4"/>
      <c r="H19" s="4"/>
    </row>
    <row r="20" customFormat="false" ht="18" hidden="false" customHeight="true" outlineLevel="0" collapsed="false">
      <c r="B20" s="4" t="s">
        <v>15</v>
      </c>
      <c r="C20" s="4"/>
      <c r="D20" s="4"/>
      <c r="E20" s="4"/>
      <c r="F20" s="4"/>
      <c r="G20" s="4"/>
      <c r="H20" s="4"/>
    </row>
    <row r="22" customFormat="false" ht="19.5" hidden="false" customHeight="true" outlineLevel="0" collapsed="false">
      <c r="B22" s="3" t="s">
        <v>16</v>
      </c>
      <c r="C22" s="3"/>
      <c r="D22" s="3"/>
      <c r="E22" s="3"/>
      <c r="F22" s="3"/>
      <c r="G22" s="3"/>
      <c r="H22" s="3"/>
    </row>
    <row r="23" customFormat="false" ht="18" hidden="false" customHeight="true" outlineLevel="0" collapsed="false">
      <c r="B23" s="4" t="s">
        <v>17</v>
      </c>
      <c r="C23" s="4"/>
      <c r="D23" s="4"/>
      <c r="E23" s="4"/>
      <c r="F23" s="4"/>
      <c r="G23" s="4"/>
      <c r="H23" s="4"/>
    </row>
    <row r="25" customFormat="false" ht="19.5" hidden="false" customHeight="true" outlineLevel="0" collapsed="false">
      <c r="B25" s="3" t="s">
        <v>18</v>
      </c>
      <c r="C25" s="3"/>
      <c r="D25" s="3"/>
      <c r="E25" s="3"/>
      <c r="F25" s="3"/>
      <c r="G25" s="3"/>
      <c r="H25" s="3"/>
    </row>
    <row r="26" customFormat="false" ht="18" hidden="false" customHeight="true" outlineLevel="0" collapsed="false">
      <c r="B26" s="4" t="s">
        <v>19</v>
      </c>
      <c r="C26" s="4"/>
      <c r="D26" s="4"/>
      <c r="E26" s="4"/>
      <c r="F26" s="4"/>
      <c r="G26" s="4"/>
      <c r="H26" s="4"/>
    </row>
    <row r="28" customFormat="false" ht="19.5" hidden="false" customHeight="true" outlineLevel="0" collapsed="false">
      <c r="B28" s="3" t="s">
        <v>20</v>
      </c>
      <c r="C28" s="3"/>
      <c r="D28" s="3"/>
      <c r="E28" s="3"/>
      <c r="F28" s="3"/>
      <c r="G28" s="3"/>
      <c r="H28" s="3"/>
    </row>
    <row r="29" customFormat="false" ht="31.5" hidden="false" customHeight="true" outlineLevel="0" collapsed="false">
      <c r="B29" s="4" t="s">
        <v>21</v>
      </c>
      <c r="C29" s="4"/>
      <c r="D29" s="4"/>
      <c r="E29" s="4"/>
      <c r="F29" s="4"/>
      <c r="G29" s="4"/>
      <c r="H29" s="4"/>
    </row>
    <row r="30" customFormat="false" ht="31.5" hidden="false" customHeight="true" outlineLevel="0" collapsed="false">
      <c r="B30" s="4" t="s">
        <v>22</v>
      </c>
      <c r="C30" s="4"/>
      <c r="D30" s="4"/>
      <c r="E30" s="4"/>
      <c r="F30" s="4"/>
      <c r="G30" s="4"/>
      <c r="H30" s="4"/>
    </row>
    <row r="31" customFormat="false" ht="18" hidden="false" customHeight="true" outlineLevel="0" collapsed="false">
      <c r="B31" s="4" t="s">
        <v>23</v>
      </c>
      <c r="C31" s="4"/>
      <c r="D31" s="4"/>
      <c r="E31" s="4"/>
      <c r="F31" s="4"/>
      <c r="G31" s="4"/>
      <c r="H31" s="4"/>
    </row>
    <row r="32" customFormat="false" ht="18" hidden="false" customHeight="true" outlineLevel="0" collapsed="false">
      <c r="B32" s="4" t="s">
        <v>24</v>
      </c>
      <c r="C32" s="4"/>
      <c r="D32" s="4"/>
      <c r="E32" s="4"/>
      <c r="F32" s="4"/>
      <c r="G32" s="4"/>
      <c r="H32" s="4"/>
    </row>
    <row r="34" customFormat="false" ht="19.5" hidden="false" customHeight="true" outlineLevel="0" collapsed="false">
      <c r="B34" s="3" t="s">
        <v>25</v>
      </c>
      <c r="C34" s="3"/>
      <c r="D34" s="3"/>
      <c r="E34" s="3"/>
      <c r="F34" s="3"/>
      <c r="G34" s="3"/>
      <c r="H34" s="3"/>
    </row>
    <row r="35" customFormat="false" ht="31.5" hidden="false" customHeight="true" outlineLevel="0" collapsed="false">
      <c r="B35" s="4" t="s">
        <v>26</v>
      </c>
      <c r="C35" s="4"/>
      <c r="D35" s="4"/>
      <c r="E35" s="4"/>
      <c r="F35" s="4"/>
      <c r="G35" s="4"/>
      <c r="H35" s="4"/>
    </row>
    <row r="36" customFormat="false" ht="18" hidden="false" customHeight="true" outlineLevel="0" collapsed="false">
      <c r="B36" s="4" t="s">
        <v>27</v>
      </c>
      <c r="C36" s="4"/>
      <c r="D36" s="4"/>
      <c r="E36" s="4"/>
      <c r="F36" s="4"/>
      <c r="G36" s="4"/>
      <c r="H36" s="4"/>
    </row>
    <row r="38" customFormat="false" ht="19.5" hidden="false" customHeight="true" outlineLevel="0" collapsed="false">
      <c r="B38" s="3" t="s">
        <v>28</v>
      </c>
      <c r="C38" s="3"/>
      <c r="D38" s="3"/>
      <c r="E38" s="3"/>
      <c r="F38" s="3"/>
      <c r="G38" s="3"/>
      <c r="H38" s="3"/>
    </row>
    <row r="39" customFormat="false" ht="18" hidden="false" customHeight="true" outlineLevel="0" collapsed="false">
      <c r="B39" s="4" t="s">
        <v>29</v>
      </c>
      <c r="C39" s="4"/>
      <c r="D39" s="4"/>
      <c r="E39" s="4"/>
      <c r="F39" s="4"/>
      <c r="G39" s="4"/>
      <c r="H39" s="4"/>
    </row>
    <row r="40" customFormat="false" ht="18" hidden="false" customHeight="true" outlineLevel="0" collapsed="false">
      <c r="B40" s="4" t="s">
        <v>30</v>
      </c>
      <c r="C40" s="4"/>
      <c r="D40" s="4"/>
      <c r="E40" s="4"/>
      <c r="F40" s="4"/>
      <c r="G40" s="4"/>
      <c r="H40" s="4"/>
    </row>
    <row r="41" customFormat="false" ht="18" hidden="false" customHeight="true" outlineLevel="0" collapsed="false">
      <c r="B41" s="4" t="s">
        <v>31</v>
      </c>
      <c r="C41" s="4"/>
      <c r="D41" s="4"/>
      <c r="E41" s="4"/>
      <c r="F41" s="4"/>
      <c r="G41" s="4"/>
      <c r="H41" s="4"/>
    </row>
    <row r="42" customFormat="false" ht="18" hidden="false" customHeight="true" outlineLevel="0" collapsed="false">
      <c r="B42" s="4" t="s">
        <v>32</v>
      </c>
      <c r="C42" s="4"/>
      <c r="D42" s="4"/>
      <c r="E42" s="4"/>
      <c r="F42" s="4"/>
      <c r="G42" s="4"/>
      <c r="H42" s="4"/>
    </row>
    <row r="44" customFormat="false" ht="19.5" hidden="false" customHeight="true" outlineLevel="0" collapsed="false">
      <c r="B44" s="3" t="s">
        <v>33</v>
      </c>
      <c r="C44" s="3"/>
      <c r="D44" s="3"/>
      <c r="E44" s="3"/>
      <c r="F44" s="3"/>
      <c r="G44" s="3"/>
      <c r="H44" s="3"/>
    </row>
    <row r="45" customFormat="false" ht="18" hidden="false" customHeight="true" outlineLevel="0" collapsed="false">
      <c r="B45" s="4" t="s">
        <v>34</v>
      </c>
      <c r="C45" s="4"/>
      <c r="D45" s="4"/>
      <c r="E45" s="4"/>
      <c r="F45" s="4"/>
      <c r="G45" s="4"/>
      <c r="H45" s="4"/>
    </row>
    <row r="46" customFormat="false" ht="18" hidden="false" customHeight="true" outlineLevel="0" collapsed="false">
      <c r="B46" s="4" t="s">
        <v>35</v>
      </c>
      <c r="C46" s="4"/>
      <c r="D46" s="4"/>
      <c r="E46" s="4"/>
      <c r="F46" s="4"/>
      <c r="G46" s="4"/>
      <c r="H46" s="4"/>
    </row>
    <row r="47" customFormat="false" ht="18" hidden="false" customHeight="true" outlineLevel="0" collapsed="false">
      <c r="B47" s="4" t="s">
        <v>36</v>
      </c>
      <c r="C47" s="4"/>
      <c r="D47" s="4"/>
      <c r="E47" s="4"/>
      <c r="F47" s="4"/>
      <c r="G47" s="4"/>
      <c r="H47" s="4"/>
    </row>
    <row r="48" customFormat="false" ht="18" hidden="false" customHeight="true" outlineLevel="0" collapsed="false">
      <c r="B48" s="4" t="s">
        <v>37</v>
      </c>
      <c r="C48" s="4"/>
      <c r="D48" s="4"/>
      <c r="E48" s="4"/>
      <c r="F48" s="4"/>
      <c r="G48" s="4"/>
      <c r="H48" s="4"/>
    </row>
    <row r="49" customFormat="false" ht="18" hidden="false" customHeight="true" outlineLevel="0" collapsed="false">
      <c r="B49" s="4" t="s">
        <v>38</v>
      </c>
      <c r="C49" s="4"/>
      <c r="D49" s="4"/>
      <c r="E49" s="4"/>
      <c r="F49" s="4"/>
      <c r="G49" s="4"/>
      <c r="H49" s="4"/>
    </row>
    <row r="51" customFormat="false" ht="19.5" hidden="false" customHeight="true" outlineLevel="0" collapsed="false">
      <c r="B51" s="3" t="s">
        <v>39</v>
      </c>
      <c r="C51" s="3"/>
      <c r="D51" s="3"/>
      <c r="E51" s="3"/>
      <c r="F51" s="3"/>
      <c r="G51" s="3"/>
      <c r="H51" s="3"/>
    </row>
    <row r="52" customFormat="false" ht="31.5" hidden="false" customHeight="true" outlineLevel="0" collapsed="false">
      <c r="B52" s="4" t="s">
        <v>40</v>
      </c>
      <c r="C52" s="4"/>
      <c r="D52" s="4"/>
      <c r="E52" s="4"/>
      <c r="F52" s="4"/>
      <c r="G52" s="4"/>
      <c r="H52" s="4"/>
    </row>
    <row r="53" customFormat="false" ht="18" hidden="false" customHeight="true" outlineLevel="0" collapsed="false">
      <c r="B53" s="4" t="s">
        <v>41</v>
      </c>
      <c r="C53" s="4"/>
      <c r="D53" s="4"/>
      <c r="E53" s="4"/>
      <c r="F53" s="4"/>
      <c r="G53" s="4"/>
      <c r="H53" s="4"/>
    </row>
  </sheetData>
  <mergeCells count="42">
    <mergeCell ref="B2:F2"/>
    <mergeCell ref="B3:F3"/>
    <mergeCell ref="B5:H5"/>
    <mergeCell ref="B6:H6"/>
    <mergeCell ref="B7:H7"/>
    <mergeCell ref="B8:H8"/>
    <mergeCell ref="B9:H9"/>
    <mergeCell ref="B10:H10"/>
    <mergeCell ref="B12:H12"/>
    <mergeCell ref="B13:H13"/>
    <mergeCell ref="B14:H14"/>
    <mergeCell ref="B15:H15"/>
    <mergeCell ref="B17:H17"/>
    <mergeCell ref="B18:H18"/>
    <mergeCell ref="B19:H19"/>
    <mergeCell ref="B20:H20"/>
    <mergeCell ref="B22:H22"/>
    <mergeCell ref="B23:H23"/>
    <mergeCell ref="B25:H25"/>
    <mergeCell ref="B26:H26"/>
    <mergeCell ref="B28:H28"/>
    <mergeCell ref="B29:H29"/>
    <mergeCell ref="B30:H30"/>
    <mergeCell ref="B31:H31"/>
    <mergeCell ref="B32:H32"/>
    <mergeCell ref="B34:H34"/>
    <mergeCell ref="B35:H35"/>
    <mergeCell ref="B36:H36"/>
    <mergeCell ref="B38:H38"/>
    <mergeCell ref="B39:H39"/>
    <mergeCell ref="B40:H40"/>
    <mergeCell ref="B41:H41"/>
    <mergeCell ref="B42:H42"/>
    <mergeCell ref="B44:H44"/>
    <mergeCell ref="B45:H45"/>
    <mergeCell ref="B46:H46"/>
    <mergeCell ref="B47:H47"/>
    <mergeCell ref="B48:H48"/>
    <mergeCell ref="B49:H49"/>
    <mergeCell ref="B51:H51"/>
    <mergeCell ref="B52:H52"/>
    <mergeCell ref="B53:H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55"/>
  </cols>
  <sheetData>
    <row r="2" customFormat="false" ht="25.5" hidden="false" customHeight="true" outlineLevel="0" collapsed="false">
      <c r="B2" s="5" t="s">
        <v>42</v>
      </c>
      <c r="C2" s="5"/>
      <c r="D2" s="5"/>
      <c r="E2" s="5"/>
    </row>
    <row r="4" customFormat="false" ht="30" hidden="false" customHeight="true" outlineLevel="0" collapsed="false">
      <c r="B4" s="6" t="s">
        <v>43</v>
      </c>
      <c r="C4" s="6" t="s">
        <v>44</v>
      </c>
      <c r="D4" s="6" t="s">
        <v>45</v>
      </c>
    </row>
    <row r="5" customFormat="false" ht="15" hidden="false" customHeight="false" outlineLevel="0" collapsed="false">
      <c r="B5" s="7" t="s">
        <v>46</v>
      </c>
      <c r="C5" s="8" t="n">
        <v>1423500</v>
      </c>
      <c r="D5" s="9" t="s">
        <v>47</v>
      </c>
    </row>
    <row r="6" customFormat="false" ht="15" hidden="false" customHeight="false" outlineLevel="0" collapsed="false">
      <c r="B6" s="7" t="s">
        <v>48</v>
      </c>
      <c r="C6" s="8" t="n">
        <v>200000</v>
      </c>
      <c r="D6" s="9" t="s">
        <v>49</v>
      </c>
    </row>
    <row r="7" customFormat="false" ht="15" hidden="false" customHeight="false" outlineLevel="0" collapsed="false">
      <c r="B7" s="7" t="s">
        <v>50</v>
      </c>
      <c r="C7" s="10" t="n">
        <v>0.04</v>
      </c>
      <c r="D7" s="9" t="s">
        <v>51</v>
      </c>
    </row>
    <row r="8" customFormat="false" ht="15" hidden="false" customHeight="false" outlineLevel="0" collapsed="false">
      <c r="B8" s="7" t="s">
        <v>52</v>
      </c>
      <c r="C8" s="10" t="n">
        <v>0.085</v>
      </c>
      <c r="D8" s="9" t="s">
        <v>53</v>
      </c>
    </row>
    <row r="9" customFormat="false" ht="15" hidden="false" customHeight="false" outlineLevel="0" collapsed="false">
      <c r="B9" s="7" t="s">
        <v>54</v>
      </c>
      <c r="C9" s="10" t="n">
        <v>0.04</v>
      </c>
      <c r="D9" s="9" t="s">
        <v>51</v>
      </c>
    </row>
    <row r="10" customFormat="false" ht="15" hidden="false" customHeight="false" outlineLevel="0" collapsed="false">
      <c r="B10" s="7" t="s">
        <v>55</v>
      </c>
      <c r="C10" s="10" t="n">
        <v>0.12</v>
      </c>
      <c r="D10" s="9" t="s">
        <v>51</v>
      </c>
    </row>
    <row r="11" customFormat="false" ht="15" hidden="false" customHeight="false" outlineLevel="0" collapsed="false">
      <c r="B11" s="7" t="s">
        <v>56</v>
      </c>
      <c r="C11" s="10" t="n">
        <v>0.01</v>
      </c>
      <c r="D11" s="9" t="s">
        <v>57</v>
      </c>
    </row>
    <row r="12" customFormat="false" ht="15" hidden="false" customHeight="false" outlineLevel="0" collapsed="false">
      <c r="B12" s="7" t="s">
        <v>58</v>
      </c>
      <c r="C12" s="10" t="n">
        <v>0.04</v>
      </c>
      <c r="D12" s="9" t="s">
        <v>59</v>
      </c>
    </row>
    <row r="13" customFormat="false" ht="15" hidden="false" customHeight="false" outlineLevel="0" collapsed="false">
      <c r="B13" s="7" t="s">
        <v>60</v>
      </c>
      <c r="C13" s="10" t="n">
        <v>0.03</v>
      </c>
      <c r="D13" s="9" t="s">
        <v>61</v>
      </c>
    </row>
    <row r="14" customFormat="false" ht="15" hidden="false" customHeight="false" outlineLevel="0" collapsed="false">
      <c r="B14" s="7" t="s">
        <v>62</v>
      </c>
      <c r="C14" s="10" t="n">
        <v>0.02</v>
      </c>
      <c r="D14" s="9" t="s">
        <v>61</v>
      </c>
    </row>
    <row r="15" customFormat="false" ht="15" hidden="false" customHeight="false" outlineLevel="0" collapsed="false">
      <c r="B15" s="7" t="s">
        <v>63</v>
      </c>
      <c r="C15" s="8" t="n">
        <v>14235000</v>
      </c>
      <c r="D15" s="9" t="s">
        <v>64</v>
      </c>
    </row>
    <row r="16" customFormat="false" ht="15" hidden="false" customHeight="false" outlineLevel="0" collapsed="false">
      <c r="B16" s="7" t="s">
        <v>12</v>
      </c>
      <c r="C16" s="10" t="n">
        <v>0.0833</v>
      </c>
      <c r="D16" s="9" t="s">
        <v>65</v>
      </c>
    </row>
    <row r="17" customFormat="false" ht="15" hidden="false" customHeight="false" outlineLevel="0" collapsed="false">
      <c r="B17" s="7" t="s">
        <v>66</v>
      </c>
      <c r="C17" s="10" t="n">
        <v>0.12</v>
      </c>
      <c r="D17" s="9" t="s">
        <v>67</v>
      </c>
    </row>
    <row r="18" customFormat="false" ht="15" hidden="false" customHeight="false" outlineLevel="0" collapsed="false">
      <c r="B18" s="7" t="s">
        <v>18</v>
      </c>
      <c r="C18" s="10" t="n">
        <v>0.0833</v>
      </c>
      <c r="D18" s="9" t="s">
        <v>68</v>
      </c>
    </row>
    <row r="19" customFormat="false" ht="15" hidden="false" customHeight="false" outlineLevel="0" collapsed="false">
      <c r="B19" s="7" t="s">
        <v>8</v>
      </c>
      <c r="C19" s="10" t="n">
        <v>0.0417</v>
      </c>
      <c r="D19" s="9" t="s">
        <v>69</v>
      </c>
    </row>
    <row r="20" customFormat="false" ht="15" hidden="false" customHeight="false" outlineLevel="0" collapsed="false">
      <c r="B20" s="7" t="s">
        <v>70</v>
      </c>
      <c r="C20" s="11" t="n">
        <v>3</v>
      </c>
      <c r="D20" s="9" t="s">
        <v>71</v>
      </c>
    </row>
    <row r="22" customFormat="false" ht="15" hidden="false" customHeight="false" outlineLevel="0" collapsed="false">
      <c r="B22" s="12" t="s">
        <v>72</v>
      </c>
      <c r="C22" s="12"/>
      <c r="D22" s="12"/>
    </row>
    <row r="23" customFormat="false" ht="15" hidden="false" customHeight="false" outlineLevel="0" collapsed="false">
      <c r="B23" s="13" t="s">
        <v>73</v>
      </c>
      <c r="C23" s="13" t="s">
        <v>74</v>
      </c>
    </row>
    <row r="24" customFormat="false" ht="15" hidden="false" customHeight="false" outlineLevel="0" collapsed="false">
      <c r="B24" s="7" t="s">
        <v>75</v>
      </c>
      <c r="C24" s="14" t="s">
        <v>76</v>
      </c>
    </row>
    <row r="25" customFormat="false" ht="15" hidden="false" customHeight="false" outlineLevel="0" collapsed="false">
      <c r="B25" s="7" t="s">
        <v>77</v>
      </c>
      <c r="C25" s="14" t="s">
        <v>78</v>
      </c>
    </row>
    <row r="26" customFormat="false" ht="15" hidden="false" customHeight="false" outlineLevel="0" collapsed="false">
      <c r="B26" s="7" t="s">
        <v>79</v>
      </c>
      <c r="C26" s="14" t="s">
        <v>80</v>
      </c>
    </row>
    <row r="27" customFormat="false" ht="15" hidden="false" customHeight="false" outlineLevel="0" collapsed="false">
      <c r="B27" s="7" t="s">
        <v>81</v>
      </c>
      <c r="C27" s="14" t="s">
        <v>82</v>
      </c>
    </row>
  </sheetData>
  <mergeCells count="2">
    <mergeCell ref="B2:E2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7" min="6" style="0" width="18"/>
    <col collapsed="false" customWidth="true" hidden="false" outlineLevel="0" max="8" min="8" style="0" width="22"/>
  </cols>
  <sheetData>
    <row r="2" customFormat="false" ht="25.5" hidden="false" customHeight="true" outlineLevel="0" collapsed="false">
      <c r="B2" s="5" t="s">
        <v>83</v>
      </c>
      <c r="C2" s="5"/>
      <c r="D2" s="5"/>
      <c r="E2" s="5"/>
      <c r="F2" s="5"/>
      <c r="G2" s="5"/>
      <c r="H2" s="5"/>
    </row>
    <row r="4" customFormat="false" ht="31.5" hidden="false" customHeight="true" outlineLevel="0" collapsed="false">
      <c r="B4" s="6" t="s">
        <v>84</v>
      </c>
      <c r="C4" s="6" t="s">
        <v>85</v>
      </c>
      <c r="D4" s="6" t="s">
        <v>86</v>
      </c>
      <c r="E4" s="6" t="s">
        <v>87</v>
      </c>
      <c r="F4" s="6" t="s">
        <v>88</v>
      </c>
      <c r="G4" s="6" t="s">
        <v>89</v>
      </c>
      <c r="H4" s="6" t="s">
        <v>90</v>
      </c>
    </row>
    <row r="5" customFormat="false" ht="15" hidden="false" customHeight="false" outlineLevel="0" collapsed="false">
      <c r="B5" s="14" t="s">
        <v>91</v>
      </c>
      <c r="C5" s="14" t="s">
        <v>92</v>
      </c>
      <c r="D5" s="14" t="n">
        <f aca="false">COUNTIF(Nomina_Detallada!$D$2:$D$188,B5)</f>
        <v>1</v>
      </c>
      <c r="E5" s="15" t="n">
        <f aca="false">AVERAGEIF(Nomina_Detallada!$D$2:$D$188,B5,Nomina_Detallada!$K$2:$K$188)</f>
        <v>35000000</v>
      </c>
      <c r="F5" s="15" t="n">
        <f aca="false">_xlfn.MINIFS(Nomina_Detallada!$K$2:$K$188,Nomina_Detallada!$D$2:$D$188,B5)</f>
        <v>35000000</v>
      </c>
      <c r="G5" s="15" t="n">
        <f aca="false">_xlfn.MAXIFS(Nomina_Detallada!$K$2:$K$188,Nomina_Detallada!$D$2:$D$188,B5)</f>
        <v>35000000</v>
      </c>
      <c r="H5" s="15" t="n">
        <f aca="false">SUMIF(Nomina_Detallada!$D$2:$D$188,B5,Nomina_Detallada!$W$2:$W$188)</f>
        <v>50865500</v>
      </c>
    </row>
    <row r="6" customFormat="false" ht="15" hidden="false" customHeight="false" outlineLevel="0" collapsed="false">
      <c r="B6" s="16" t="s">
        <v>93</v>
      </c>
      <c r="C6" s="16" t="s">
        <v>94</v>
      </c>
      <c r="D6" s="16" t="n">
        <f aca="false">COUNTIF(Nomina_Detallada!$D$2:$D$188,B6)</f>
        <v>1</v>
      </c>
      <c r="E6" s="17" t="n">
        <f aca="false">AVERAGEIF(Nomina_Detallada!$D$2:$D$188,B6,Nomina_Detallada!$K$2:$K$188)</f>
        <v>19000000</v>
      </c>
      <c r="F6" s="17" t="n">
        <f aca="false">_xlfn.MINIFS(Nomina_Detallada!$K$2:$K$188,Nomina_Detallada!$D$2:$D$188,B6)</f>
        <v>19000000</v>
      </c>
      <c r="G6" s="17" t="n">
        <f aca="false">_xlfn.MAXIFS(Nomina_Detallada!$K$2:$K$188,Nomina_Detallada!$D$2:$D$188,B6)</f>
        <v>19000000</v>
      </c>
      <c r="H6" s="17" t="n">
        <f aca="false">SUMIF(Nomina_Detallada!$D$2:$D$188,B6,Nomina_Detallada!$W$2:$W$188)</f>
        <v>27612700</v>
      </c>
    </row>
    <row r="7" customFormat="false" ht="15" hidden="false" customHeight="false" outlineLevel="0" collapsed="false">
      <c r="B7" s="14" t="s">
        <v>95</v>
      </c>
      <c r="C7" s="14" t="s">
        <v>96</v>
      </c>
      <c r="D7" s="14" t="n">
        <f aca="false">COUNTIF(Nomina_Detallada!$D$2:$D$188,B7)</f>
        <v>1</v>
      </c>
      <c r="E7" s="15" t="n">
        <f aca="false">AVERAGEIF(Nomina_Detallada!$D$2:$D$188,B7,Nomina_Detallada!$K$2:$K$188)</f>
        <v>19500000</v>
      </c>
      <c r="F7" s="15" t="n">
        <f aca="false">_xlfn.MINIFS(Nomina_Detallada!$K$2:$K$188,Nomina_Detallada!$D$2:$D$188,B7)</f>
        <v>19500000</v>
      </c>
      <c r="G7" s="15" t="n">
        <f aca="false">_xlfn.MAXIFS(Nomina_Detallada!$K$2:$K$188,Nomina_Detallada!$D$2:$D$188,B7)</f>
        <v>19500000</v>
      </c>
      <c r="H7" s="15" t="n">
        <f aca="false">SUMIF(Nomina_Detallada!$D$2:$D$188,B7,Nomina_Detallada!$W$2:$W$188)</f>
        <v>28339350</v>
      </c>
    </row>
    <row r="8" customFormat="false" ht="15" hidden="false" customHeight="false" outlineLevel="0" collapsed="false">
      <c r="B8" s="16" t="s">
        <v>97</v>
      </c>
      <c r="C8" s="16" t="s">
        <v>98</v>
      </c>
      <c r="D8" s="16" t="n">
        <f aca="false">COUNTIF(Nomina_Detallada!$D$2:$D$188,B8)</f>
        <v>1</v>
      </c>
      <c r="E8" s="17" t="n">
        <f aca="false">AVERAGEIF(Nomina_Detallada!$D$2:$D$188,B8,Nomina_Detallada!$K$2:$K$188)</f>
        <v>18500000</v>
      </c>
      <c r="F8" s="17" t="n">
        <f aca="false">_xlfn.MINIFS(Nomina_Detallada!$K$2:$K$188,Nomina_Detallada!$D$2:$D$188,B8)</f>
        <v>18500000</v>
      </c>
      <c r="G8" s="17" t="n">
        <f aca="false">_xlfn.MAXIFS(Nomina_Detallada!$K$2:$K$188,Nomina_Detallada!$D$2:$D$188,B8)</f>
        <v>18500000</v>
      </c>
      <c r="H8" s="17" t="n">
        <f aca="false">SUMIF(Nomina_Detallada!$D$2:$D$188,B8,Nomina_Detallada!$W$2:$W$188)</f>
        <v>26886050</v>
      </c>
    </row>
    <row r="9" customFormat="false" ht="15" hidden="false" customHeight="false" outlineLevel="0" collapsed="false">
      <c r="B9" s="14" t="s">
        <v>99</v>
      </c>
      <c r="C9" s="14" t="s">
        <v>100</v>
      </c>
      <c r="D9" s="14" t="n">
        <f aca="false">COUNTIF(Nomina_Detallada!$D$2:$D$188,B9)</f>
        <v>1</v>
      </c>
      <c r="E9" s="15" t="n">
        <f aca="false">AVERAGEIF(Nomina_Detallada!$D$2:$D$188,B9,Nomina_Detallada!$K$2:$K$188)</f>
        <v>16500000</v>
      </c>
      <c r="F9" s="15" t="n">
        <f aca="false">_xlfn.MINIFS(Nomina_Detallada!$K$2:$K$188,Nomina_Detallada!$D$2:$D$188,B9)</f>
        <v>16500000</v>
      </c>
      <c r="G9" s="15" t="n">
        <f aca="false">_xlfn.MAXIFS(Nomina_Detallada!$K$2:$K$188,Nomina_Detallada!$D$2:$D$188,B9)</f>
        <v>16500000</v>
      </c>
      <c r="H9" s="15" t="n">
        <f aca="false">SUMIF(Nomina_Detallada!$D$2:$D$188,B9,Nomina_Detallada!$W$2:$W$188)</f>
        <v>23979450</v>
      </c>
    </row>
    <row r="10" customFormat="false" ht="15" hidden="false" customHeight="false" outlineLevel="0" collapsed="false">
      <c r="B10" s="16" t="s">
        <v>101</v>
      </c>
      <c r="C10" s="16" t="s">
        <v>102</v>
      </c>
      <c r="D10" s="16" t="n">
        <f aca="false">COUNTIF(Nomina_Detallada!$D$2:$D$188,B10)</f>
        <v>1</v>
      </c>
      <c r="E10" s="17" t="n">
        <f aca="false">AVERAGEIF(Nomina_Detallada!$D$2:$D$188,B10,Nomina_Detallada!$K$2:$K$188)</f>
        <v>9800000</v>
      </c>
      <c r="F10" s="17" t="n">
        <f aca="false">_xlfn.MINIFS(Nomina_Detallada!$K$2:$K$188,Nomina_Detallada!$D$2:$D$188,B10)</f>
        <v>9800000</v>
      </c>
      <c r="G10" s="17" t="n">
        <f aca="false">_xlfn.MAXIFS(Nomina_Detallada!$K$2:$K$188,Nomina_Detallada!$D$2:$D$188,B10)</f>
        <v>9800000</v>
      </c>
      <c r="H10" s="17" t="n">
        <f aca="false">SUMIF(Nomina_Detallada!$D$2:$D$188,B10,Nomina_Detallada!$W$2:$W$188)</f>
        <v>13409340</v>
      </c>
    </row>
    <row r="11" customFormat="false" ht="15" hidden="false" customHeight="false" outlineLevel="0" collapsed="false">
      <c r="B11" s="14" t="s">
        <v>103</v>
      </c>
      <c r="C11" s="14" t="s">
        <v>96</v>
      </c>
      <c r="D11" s="14" t="n">
        <f aca="false">COUNTIF(Nomina_Detallada!$D$2:$D$188,B11)</f>
        <v>1</v>
      </c>
      <c r="E11" s="15" t="n">
        <f aca="false">AVERAGEIF(Nomina_Detallada!$D$2:$D$188,B11,Nomina_Detallada!$K$2:$K$188)</f>
        <v>6800000</v>
      </c>
      <c r="F11" s="15" t="n">
        <f aca="false">_xlfn.MINIFS(Nomina_Detallada!$K$2:$K$188,Nomina_Detallada!$D$2:$D$188,B11)</f>
        <v>6800000</v>
      </c>
      <c r="G11" s="15" t="n">
        <f aca="false">_xlfn.MAXIFS(Nomina_Detallada!$K$2:$K$188,Nomina_Detallada!$D$2:$D$188,B11)</f>
        <v>6800000</v>
      </c>
      <c r="H11" s="15" t="n">
        <f aca="false">SUMIF(Nomina_Detallada!$D$2:$D$188,B11,Nomina_Detallada!$W$2:$W$188)</f>
        <v>9304440</v>
      </c>
    </row>
    <row r="12" customFormat="false" ht="15" hidden="false" customHeight="false" outlineLevel="0" collapsed="false">
      <c r="B12" s="16" t="s">
        <v>104</v>
      </c>
      <c r="C12" s="16" t="s">
        <v>96</v>
      </c>
      <c r="D12" s="16" t="n">
        <f aca="false">COUNTIF(Nomina_Detallada!$D$2:$D$188,B12)</f>
        <v>1</v>
      </c>
      <c r="E12" s="17" t="n">
        <f aca="false">AVERAGEIF(Nomina_Detallada!$D$2:$D$188,B12,Nomina_Detallada!$K$2:$K$188)</f>
        <v>7000000</v>
      </c>
      <c r="F12" s="17" t="n">
        <f aca="false">_xlfn.MINIFS(Nomina_Detallada!$K$2:$K$188,Nomina_Detallada!$D$2:$D$188,B12)</f>
        <v>7000000</v>
      </c>
      <c r="G12" s="17" t="n">
        <f aca="false">_xlfn.MAXIFS(Nomina_Detallada!$K$2:$K$188,Nomina_Detallada!$D$2:$D$188,B12)</f>
        <v>7000000</v>
      </c>
      <c r="H12" s="17" t="n">
        <f aca="false">SUMIF(Nomina_Detallada!$D$2:$D$188,B12,Nomina_Detallada!$W$2:$W$188)</f>
        <v>9578100</v>
      </c>
    </row>
    <row r="13" customFormat="false" ht="15" hidden="false" customHeight="false" outlineLevel="0" collapsed="false">
      <c r="B13" s="14" t="s">
        <v>105</v>
      </c>
      <c r="C13" s="14" t="s">
        <v>96</v>
      </c>
      <c r="D13" s="14" t="n">
        <f aca="false">COUNTIF(Nomina_Detallada!$D$2:$D$188,B13)</f>
        <v>1</v>
      </c>
      <c r="E13" s="15" t="n">
        <f aca="false">AVERAGEIF(Nomina_Detallada!$D$2:$D$188,B13,Nomina_Detallada!$K$2:$K$188)</f>
        <v>5600000</v>
      </c>
      <c r="F13" s="15" t="n">
        <f aca="false">_xlfn.MINIFS(Nomina_Detallada!$K$2:$K$188,Nomina_Detallada!$D$2:$D$188,B13)</f>
        <v>5600000</v>
      </c>
      <c r="G13" s="15" t="n">
        <f aca="false">_xlfn.MAXIFS(Nomina_Detallada!$K$2:$K$188,Nomina_Detallada!$D$2:$D$188,B13)</f>
        <v>5600000</v>
      </c>
      <c r="H13" s="15" t="n">
        <f aca="false">SUMIF(Nomina_Detallada!$D$2:$D$188,B13,Nomina_Detallada!$W$2:$W$188)</f>
        <v>7662480</v>
      </c>
    </row>
    <row r="14" customFormat="false" ht="15" hidden="false" customHeight="false" outlineLevel="0" collapsed="false">
      <c r="B14" s="16" t="s">
        <v>106</v>
      </c>
      <c r="C14" s="16" t="s">
        <v>98</v>
      </c>
      <c r="D14" s="16" t="n">
        <f aca="false">COUNTIF(Nomina_Detallada!$D$2:$D$188,B14)</f>
        <v>1</v>
      </c>
      <c r="E14" s="17" t="n">
        <f aca="false">AVERAGEIF(Nomina_Detallada!$D$2:$D$188,B14,Nomina_Detallada!$K$2:$K$188)</f>
        <v>6200000</v>
      </c>
      <c r="F14" s="17" t="n">
        <f aca="false">_xlfn.MINIFS(Nomina_Detallada!$K$2:$K$188,Nomina_Detallada!$D$2:$D$188,B14)</f>
        <v>6200000</v>
      </c>
      <c r="G14" s="17" t="n">
        <f aca="false">_xlfn.MAXIFS(Nomina_Detallada!$K$2:$K$188,Nomina_Detallada!$D$2:$D$188,B14)</f>
        <v>6200000</v>
      </c>
      <c r="H14" s="17" t="n">
        <f aca="false">SUMIF(Nomina_Detallada!$D$2:$D$188,B14,Nomina_Detallada!$W$2:$W$188)</f>
        <v>8483460</v>
      </c>
    </row>
    <row r="15" customFormat="false" ht="15" hidden="false" customHeight="false" outlineLevel="0" collapsed="false">
      <c r="B15" s="14" t="s">
        <v>107</v>
      </c>
      <c r="C15" s="14" t="s">
        <v>98</v>
      </c>
      <c r="D15" s="14" t="n">
        <f aca="false">COUNTIF(Nomina_Detallada!$D$2:$D$188,B15)</f>
        <v>1</v>
      </c>
      <c r="E15" s="15" t="n">
        <f aca="false">AVERAGEIF(Nomina_Detallada!$D$2:$D$188,B15,Nomina_Detallada!$K$2:$K$188)</f>
        <v>6400000</v>
      </c>
      <c r="F15" s="15" t="n">
        <f aca="false">_xlfn.MINIFS(Nomina_Detallada!$K$2:$K$188,Nomina_Detallada!$D$2:$D$188,B15)</f>
        <v>6400000</v>
      </c>
      <c r="G15" s="15" t="n">
        <f aca="false">_xlfn.MAXIFS(Nomina_Detallada!$K$2:$K$188,Nomina_Detallada!$D$2:$D$188,B15)</f>
        <v>6400000</v>
      </c>
      <c r="H15" s="15" t="n">
        <f aca="false">SUMIF(Nomina_Detallada!$D$2:$D$188,B15,Nomina_Detallada!$W$2:$W$188)</f>
        <v>8757120</v>
      </c>
    </row>
    <row r="16" customFormat="false" ht="15" hidden="false" customHeight="false" outlineLevel="0" collapsed="false">
      <c r="B16" s="16" t="s">
        <v>108</v>
      </c>
      <c r="C16" s="16" t="s">
        <v>98</v>
      </c>
      <c r="D16" s="16" t="n">
        <f aca="false">COUNTIF(Nomina_Detallada!$D$2:$D$188,B16)</f>
        <v>1</v>
      </c>
      <c r="E16" s="17" t="n">
        <f aca="false">AVERAGEIF(Nomina_Detallada!$D$2:$D$188,B16,Nomina_Detallada!$K$2:$K$188)</f>
        <v>5800000</v>
      </c>
      <c r="F16" s="17" t="n">
        <f aca="false">_xlfn.MINIFS(Nomina_Detallada!$K$2:$K$188,Nomina_Detallada!$D$2:$D$188,B16)</f>
        <v>5800000</v>
      </c>
      <c r="G16" s="17" t="n">
        <f aca="false">_xlfn.MAXIFS(Nomina_Detallada!$K$2:$K$188,Nomina_Detallada!$D$2:$D$188,B16)</f>
        <v>5800000</v>
      </c>
      <c r="H16" s="17" t="n">
        <f aca="false">SUMIF(Nomina_Detallada!$D$2:$D$188,B16,Nomina_Detallada!$W$2:$W$188)</f>
        <v>7936140</v>
      </c>
    </row>
    <row r="17" customFormat="false" ht="15" hidden="false" customHeight="false" outlineLevel="0" collapsed="false">
      <c r="B17" s="14" t="s">
        <v>109</v>
      </c>
      <c r="C17" s="14" t="s">
        <v>94</v>
      </c>
      <c r="D17" s="14" t="n">
        <f aca="false">COUNTIF(Nomina_Detallada!$D$2:$D$188,B17)</f>
        <v>1</v>
      </c>
      <c r="E17" s="15" t="n">
        <f aca="false">AVERAGEIF(Nomina_Detallada!$D$2:$D$188,B17,Nomina_Detallada!$K$2:$K$188)</f>
        <v>5500000</v>
      </c>
      <c r="F17" s="15" t="n">
        <f aca="false">_xlfn.MINIFS(Nomina_Detallada!$K$2:$K$188,Nomina_Detallada!$D$2:$D$188,B17)</f>
        <v>5500000</v>
      </c>
      <c r="G17" s="15" t="n">
        <f aca="false">_xlfn.MAXIFS(Nomina_Detallada!$K$2:$K$188,Nomina_Detallada!$D$2:$D$188,B17)</f>
        <v>5500000</v>
      </c>
      <c r="H17" s="15" t="n">
        <f aca="false">SUMIF(Nomina_Detallada!$D$2:$D$188,B17,Nomina_Detallada!$W$2:$W$188)</f>
        <v>7525650</v>
      </c>
    </row>
    <row r="18" customFormat="false" ht="15" hidden="false" customHeight="false" outlineLevel="0" collapsed="false">
      <c r="B18" s="16" t="s">
        <v>110</v>
      </c>
      <c r="C18" s="16" t="s">
        <v>94</v>
      </c>
      <c r="D18" s="16" t="n">
        <f aca="false">COUNTIF(Nomina_Detallada!$D$2:$D$188,B18)</f>
        <v>1</v>
      </c>
      <c r="E18" s="17" t="n">
        <f aca="false">AVERAGEIF(Nomina_Detallada!$D$2:$D$188,B18,Nomina_Detallada!$K$2:$K$188)</f>
        <v>5700000</v>
      </c>
      <c r="F18" s="17" t="n">
        <f aca="false">_xlfn.MINIFS(Nomina_Detallada!$K$2:$K$188,Nomina_Detallada!$D$2:$D$188,B18)</f>
        <v>5700000</v>
      </c>
      <c r="G18" s="17" t="n">
        <f aca="false">_xlfn.MAXIFS(Nomina_Detallada!$K$2:$K$188,Nomina_Detallada!$D$2:$D$188,B18)</f>
        <v>5700000</v>
      </c>
      <c r="H18" s="17" t="n">
        <f aca="false">SUMIF(Nomina_Detallada!$D$2:$D$188,B18,Nomina_Detallada!$W$2:$W$188)</f>
        <v>7799310</v>
      </c>
    </row>
    <row r="19" customFormat="false" ht="15" hidden="false" customHeight="false" outlineLevel="0" collapsed="false">
      <c r="B19" s="14" t="s">
        <v>111</v>
      </c>
      <c r="C19" s="14" t="s">
        <v>100</v>
      </c>
      <c r="D19" s="14" t="n">
        <f aca="false">COUNTIF(Nomina_Detallada!$D$2:$D$188,B19)</f>
        <v>1</v>
      </c>
      <c r="E19" s="15" t="n">
        <f aca="false">AVERAGEIF(Nomina_Detallada!$D$2:$D$188,B19,Nomina_Detallada!$K$2:$K$188)</f>
        <v>5300000</v>
      </c>
      <c r="F19" s="15" t="n">
        <f aca="false">_xlfn.MINIFS(Nomina_Detallada!$K$2:$K$188,Nomina_Detallada!$D$2:$D$188,B19)</f>
        <v>5300000</v>
      </c>
      <c r="G19" s="15" t="n">
        <f aca="false">_xlfn.MAXIFS(Nomina_Detallada!$K$2:$K$188,Nomina_Detallada!$D$2:$D$188,B19)</f>
        <v>5300000</v>
      </c>
      <c r="H19" s="15" t="n">
        <f aca="false">SUMIF(Nomina_Detallada!$D$2:$D$188,B19,Nomina_Detallada!$W$2:$W$188)</f>
        <v>7251990</v>
      </c>
    </row>
    <row r="20" customFormat="false" ht="15" hidden="false" customHeight="false" outlineLevel="0" collapsed="false">
      <c r="B20" s="16" t="s">
        <v>112</v>
      </c>
      <c r="C20" s="16" t="s">
        <v>100</v>
      </c>
      <c r="D20" s="16" t="n">
        <f aca="false">COUNTIF(Nomina_Detallada!$D$2:$D$188,B20)</f>
        <v>1</v>
      </c>
      <c r="E20" s="17" t="n">
        <f aca="false">AVERAGEIF(Nomina_Detallada!$D$2:$D$188,B20,Nomina_Detallada!$K$2:$K$188)</f>
        <v>5400000</v>
      </c>
      <c r="F20" s="17" t="n">
        <f aca="false">_xlfn.MINIFS(Nomina_Detallada!$K$2:$K$188,Nomina_Detallada!$D$2:$D$188,B20)</f>
        <v>5400000</v>
      </c>
      <c r="G20" s="17" t="n">
        <f aca="false">_xlfn.MAXIFS(Nomina_Detallada!$K$2:$K$188,Nomina_Detallada!$D$2:$D$188,B20)</f>
        <v>5400000</v>
      </c>
      <c r="H20" s="17" t="n">
        <f aca="false">SUMIF(Nomina_Detallada!$D$2:$D$188,B20,Nomina_Detallada!$W$2:$W$188)</f>
        <v>7388820</v>
      </c>
    </row>
    <row r="21" customFormat="false" ht="15" hidden="false" customHeight="false" outlineLevel="0" collapsed="false">
      <c r="B21" s="14" t="s">
        <v>113</v>
      </c>
      <c r="C21" s="14" t="s">
        <v>98</v>
      </c>
      <c r="D21" s="14" t="n">
        <f aca="false">COUNTIF(Nomina_Detallada!$D$2:$D$188,B21)</f>
        <v>4</v>
      </c>
      <c r="E21" s="15" t="n">
        <f aca="false">AVERAGEIF(Nomina_Detallada!$D$2:$D$188,B21,Nomina_Detallada!$K$2:$K$188)</f>
        <v>3727500</v>
      </c>
      <c r="F21" s="15" t="n">
        <f aca="false">_xlfn.MINIFS(Nomina_Detallada!$K$2:$K$188,Nomina_Detallada!$D$2:$D$188,B21)</f>
        <v>3630000</v>
      </c>
      <c r="G21" s="15" t="n">
        <f aca="false">_xlfn.MAXIFS(Nomina_Detallada!$K$2:$K$188,Nomina_Detallada!$D$2:$D$188,B21)</f>
        <v>3860000</v>
      </c>
      <c r="H21" s="15" t="n">
        <f aca="false">SUMIF(Nomina_Detallada!$D$2:$D$188,B21,Nomina_Detallada!$W$2:$W$188)</f>
        <v>20401353</v>
      </c>
    </row>
    <row r="22" customFormat="false" ht="15" hidden="false" customHeight="false" outlineLevel="0" collapsed="false">
      <c r="B22" s="16" t="s">
        <v>114</v>
      </c>
      <c r="C22" s="16" t="s">
        <v>96</v>
      </c>
      <c r="D22" s="16" t="n">
        <f aca="false">COUNTIF(Nomina_Detallada!$D$2:$D$188,B22)</f>
        <v>5</v>
      </c>
      <c r="E22" s="17" t="n">
        <f aca="false">AVERAGEIF(Nomina_Detallada!$D$2:$D$188,B22,Nomina_Detallada!$K$2:$K$188)</f>
        <v>3162000</v>
      </c>
      <c r="F22" s="17" t="n">
        <f aca="false">_xlfn.MINIFS(Nomina_Detallada!$K$2:$K$188,Nomina_Detallada!$D$2:$D$188,B22)</f>
        <v>3040000</v>
      </c>
      <c r="G22" s="17" t="n">
        <f aca="false">_xlfn.MAXIFS(Nomina_Detallada!$K$2:$K$188,Nomina_Detallada!$D$2:$D$188,B22)</f>
        <v>3430000</v>
      </c>
      <c r="H22" s="17" t="n">
        <f aca="false">SUMIF(Nomina_Detallada!$D$2:$D$188,B22,Nomina_Detallada!$W$2:$W$188)</f>
        <v>21632823</v>
      </c>
    </row>
    <row r="23" customFormat="false" ht="15" hidden="false" customHeight="false" outlineLevel="0" collapsed="false">
      <c r="B23" s="14" t="s">
        <v>115</v>
      </c>
      <c r="C23" s="14" t="s">
        <v>94</v>
      </c>
      <c r="D23" s="14" t="n">
        <f aca="false">COUNTIF(Nomina_Detallada!$D$2:$D$188,B23)</f>
        <v>6</v>
      </c>
      <c r="E23" s="15" t="n">
        <f aca="false">AVERAGEIF(Nomina_Detallada!$D$2:$D$188,B23,Nomina_Detallada!$K$2:$K$188)</f>
        <v>2613333.33333333</v>
      </c>
      <c r="F23" s="15" t="n">
        <f aca="false">_xlfn.MINIFS(Nomina_Detallada!$K$2:$K$188,Nomina_Detallada!$D$2:$D$188,B23)</f>
        <v>2430000</v>
      </c>
      <c r="G23" s="15" t="n">
        <f aca="false">_xlfn.MAXIFS(Nomina_Detallada!$K$2:$K$188,Nomina_Detallada!$D$2:$D$188,B23)</f>
        <v>2770000</v>
      </c>
      <c r="H23" s="15" t="n">
        <f aca="false">SUMIF(Nomina_Detallada!$D$2:$D$188,B23,Nomina_Detallada!$W$2:$W$188)</f>
        <v>22654944</v>
      </c>
    </row>
    <row r="24" customFormat="false" ht="15" hidden="false" customHeight="false" outlineLevel="0" collapsed="false">
      <c r="B24" s="16" t="s">
        <v>116</v>
      </c>
      <c r="C24" s="16" t="s">
        <v>96</v>
      </c>
      <c r="D24" s="16" t="n">
        <f aca="false">COUNTIF(Nomina_Detallada!$D$2:$D$188,B24)</f>
        <v>42</v>
      </c>
      <c r="E24" s="17" t="n">
        <f aca="false">AVERAGEIF(Nomina_Detallada!$D$2:$D$188,B24,Nomina_Detallada!$K$2:$K$188)</f>
        <v>1593095.23809524</v>
      </c>
      <c r="F24" s="17" t="n">
        <f aca="false">_xlfn.MINIFS(Nomina_Detallada!$K$2:$K$188,Nomina_Detallada!$D$2:$D$188,B24)</f>
        <v>1500000</v>
      </c>
      <c r="G24" s="17" t="n">
        <f aca="false">_xlfn.MAXIFS(Nomina_Detallada!$K$2:$K$188,Nomina_Detallada!$D$2:$D$188,B24)</f>
        <v>1690000</v>
      </c>
      <c r="H24" s="17" t="n">
        <f aca="false">SUMIF(Nomina_Detallada!$D$2:$D$188,B24,Nomina_Detallada!$W$2:$W$188)</f>
        <v>99952953</v>
      </c>
    </row>
    <row r="25" customFormat="false" ht="15" hidden="false" customHeight="false" outlineLevel="0" collapsed="false">
      <c r="B25" s="14" t="s">
        <v>117</v>
      </c>
      <c r="C25" s="14" t="s">
        <v>96</v>
      </c>
      <c r="D25" s="14" t="n">
        <f aca="false">COUNTIF(Nomina_Detallada!$D$2:$D$188,B25)</f>
        <v>18</v>
      </c>
      <c r="E25" s="15" t="n">
        <f aca="false">AVERAGEIF(Nomina_Detallada!$D$2:$D$188,B25,Nomina_Detallada!$K$2:$K$188)</f>
        <v>1423500</v>
      </c>
      <c r="F25" s="15" t="n">
        <f aca="false">_xlfn.MINIFS(Nomina_Detallada!$K$2:$K$188,Nomina_Detallada!$D$2:$D$188,B25)</f>
        <v>1423500</v>
      </c>
      <c r="G25" s="15" t="n">
        <f aca="false">_xlfn.MAXIFS(Nomina_Detallada!$K$2:$K$188,Nomina_Detallada!$D$2:$D$188,B25)</f>
        <v>1423500</v>
      </c>
      <c r="H25" s="15" t="n">
        <f aca="false">SUMIF(Nomina_Detallada!$D$2:$D$188,B25,Nomina_Detallada!$W$2:$W$188)</f>
        <v>38659950.9</v>
      </c>
    </row>
    <row r="26" customFormat="false" ht="15" hidden="false" customHeight="false" outlineLevel="0" collapsed="false">
      <c r="B26" s="16" t="s">
        <v>118</v>
      </c>
      <c r="C26" s="16" t="s">
        <v>98</v>
      </c>
      <c r="D26" s="16" t="n">
        <f aca="false">COUNTIF(Nomina_Detallada!$D$2:$D$188,B26)</f>
        <v>35</v>
      </c>
      <c r="E26" s="17" t="n">
        <f aca="false">AVERAGEIF(Nomina_Detallada!$D$2:$D$188,B26,Nomina_Detallada!$K$2:$K$188)</f>
        <v>1538571.42857143</v>
      </c>
      <c r="F26" s="17" t="n">
        <f aca="false">_xlfn.MINIFS(Nomina_Detallada!$K$2:$K$188,Nomina_Detallada!$D$2:$D$188,B26)</f>
        <v>1450000</v>
      </c>
      <c r="G26" s="17" t="n">
        <f aca="false">_xlfn.MAXIFS(Nomina_Detallada!$K$2:$K$188,Nomina_Detallada!$D$2:$D$188,B26)</f>
        <v>1640000</v>
      </c>
      <c r="H26" s="17" t="n">
        <f aca="false">SUMIF(Nomina_Detallada!$D$2:$D$188,B26,Nomina_Detallada!$W$2:$W$188)</f>
        <v>80682955</v>
      </c>
    </row>
    <row r="27" customFormat="false" ht="15" hidden="false" customHeight="false" outlineLevel="0" collapsed="false">
      <c r="B27" s="14" t="s">
        <v>119</v>
      </c>
      <c r="C27" s="14" t="s">
        <v>98</v>
      </c>
      <c r="D27" s="14" t="n">
        <f aca="false">COUNTIF(Nomina_Detallada!$D$2:$D$188,B27)</f>
        <v>28</v>
      </c>
      <c r="E27" s="15" t="n">
        <f aca="false">AVERAGEIF(Nomina_Detallada!$D$2:$D$188,B27,Nomina_Detallada!$K$2:$K$188)</f>
        <v>1811785.71428571</v>
      </c>
      <c r="F27" s="15" t="n">
        <f aca="false">_xlfn.MINIFS(Nomina_Detallada!$K$2:$K$188,Nomina_Detallada!$D$2:$D$188,B27)</f>
        <v>1710000</v>
      </c>
      <c r="G27" s="15" t="n">
        <f aca="false">_xlfn.MAXIFS(Nomina_Detallada!$K$2:$K$188,Nomina_Detallada!$D$2:$D$188,B27)</f>
        <v>1920000</v>
      </c>
      <c r="H27" s="15" t="n">
        <f aca="false">SUMIF(Nomina_Detallada!$D$2:$D$188,B27,Nomina_Detallada!$W$2:$W$188)</f>
        <v>75013859</v>
      </c>
    </row>
    <row r="28" customFormat="false" ht="15" hidden="false" customHeight="false" outlineLevel="0" collapsed="false">
      <c r="B28" s="16" t="s">
        <v>120</v>
      </c>
      <c r="C28" s="16" t="s">
        <v>94</v>
      </c>
      <c r="D28" s="16" t="n">
        <f aca="false">COUNTIF(Nomina_Detallada!$D$2:$D$188,B28)</f>
        <v>14</v>
      </c>
      <c r="E28" s="17" t="n">
        <f aca="false">AVERAGEIF(Nomina_Detallada!$D$2:$D$188,B28,Nomina_Detallada!$K$2:$K$188)</f>
        <v>2907857.14285714</v>
      </c>
      <c r="F28" s="17" t="n">
        <f aca="false">_xlfn.MINIFS(Nomina_Detallada!$K$2:$K$188,Nomina_Detallada!$D$2:$D$188,B28)</f>
        <v>2620000</v>
      </c>
      <c r="G28" s="17" t="n">
        <f aca="false">_xlfn.MAXIFS(Nomina_Detallada!$K$2:$K$188,Nomina_Detallada!$D$2:$D$188,B28)</f>
        <v>3180000</v>
      </c>
      <c r="H28" s="17" t="n">
        <f aca="false">SUMIF(Nomina_Detallada!$D$2:$D$188,B28,Nomina_Detallada!$W$2:$W$188)</f>
        <v>56703493</v>
      </c>
    </row>
    <row r="29" customFormat="false" ht="15" hidden="false" customHeight="false" outlineLevel="0" collapsed="false">
      <c r="B29" s="14" t="s">
        <v>121</v>
      </c>
      <c r="C29" s="14" t="s">
        <v>102</v>
      </c>
      <c r="D29" s="14" t="n">
        <f aca="false">COUNTIF(Nomina_Detallada!$D$2:$D$188,B29)</f>
        <v>4</v>
      </c>
      <c r="E29" s="15" t="n">
        <f aca="false">AVERAGEIF(Nomina_Detallada!$D$2:$D$188,B29,Nomina_Detallada!$K$2:$K$188)</f>
        <v>2745000</v>
      </c>
      <c r="F29" s="15" t="n">
        <f aca="false">_xlfn.MINIFS(Nomina_Detallada!$K$2:$K$188,Nomina_Detallada!$D$2:$D$188,B29)</f>
        <v>2570000</v>
      </c>
      <c r="G29" s="15" t="n">
        <f aca="false">_xlfn.MAXIFS(Nomina_Detallada!$K$2:$K$188,Nomina_Detallada!$D$2:$D$188,B29)</f>
        <v>2890000</v>
      </c>
      <c r="H29" s="15" t="n">
        <f aca="false">SUMIF(Nomina_Detallada!$D$2:$D$188,B29,Nomina_Detallada!$W$2:$W$188)</f>
        <v>15423934</v>
      </c>
    </row>
    <row r="30" customFormat="false" ht="15" hidden="false" customHeight="false" outlineLevel="0" collapsed="false">
      <c r="B30" s="16" t="s">
        <v>122</v>
      </c>
      <c r="C30" s="16" t="s">
        <v>98</v>
      </c>
      <c r="D30" s="16" t="n">
        <f aca="false">COUNTIF(Nomina_Detallada!$D$2:$D$188,B30)</f>
        <v>8</v>
      </c>
      <c r="E30" s="17" t="n">
        <f aca="false">AVERAGEIF(Nomina_Detallada!$D$2:$D$188,B30,Nomina_Detallada!$K$2:$K$188)</f>
        <v>1481250</v>
      </c>
      <c r="F30" s="17" t="n">
        <f aca="false">_xlfn.MINIFS(Nomina_Detallada!$K$2:$K$188,Nomina_Detallada!$D$2:$D$188,B30)</f>
        <v>1450000</v>
      </c>
      <c r="G30" s="17" t="n">
        <f aca="false">_xlfn.MAXIFS(Nomina_Detallada!$K$2:$K$188,Nomina_Detallada!$D$2:$D$188,B30)</f>
        <v>1500000</v>
      </c>
      <c r="H30" s="17" t="n">
        <f aca="false">SUMIF(Nomina_Detallada!$D$2:$D$188,B30,Nomina_Detallada!$W$2:$W$188)</f>
        <v>17814355</v>
      </c>
    </row>
    <row r="31" customFormat="false" ht="15" hidden="false" customHeight="false" outlineLevel="0" collapsed="false">
      <c r="B31" s="14" t="s">
        <v>123</v>
      </c>
      <c r="C31" s="14" t="s">
        <v>100</v>
      </c>
      <c r="D31" s="14" t="n">
        <f aca="false">COUNTIF(Nomina_Detallada!$D$2:$D$188,B31)</f>
        <v>7</v>
      </c>
      <c r="E31" s="15" t="n">
        <f aca="false">AVERAGEIF(Nomina_Detallada!$D$2:$D$188,B31,Nomina_Detallada!$K$2:$K$188)</f>
        <v>1067625</v>
      </c>
      <c r="F31" s="15" t="n">
        <f aca="false">_xlfn.MINIFS(Nomina_Detallada!$K$2:$K$188,Nomina_Detallada!$D$2:$D$188,B31)</f>
        <v>1067625</v>
      </c>
      <c r="G31" s="15" t="n">
        <f aca="false">_xlfn.MAXIFS(Nomina_Detallada!$K$2:$K$188,Nomina_Detallada!$D$2:$D$188,B31)</f>
        <v>1067625</v>
      </c>
      <c r="H31" s="15" t="n">
        <f aca="false">SUMIF(Nomina_Detallada!$D$2:$D$188,B31,Nomina_Detallada!$W$2:$W$188)</f>
        <v>11625819.0125</v>
      </c>
    </row>
    <row r="33" customFormat="false" ht="15" hidden="false" customHeight="false" outlineLevel="0" collapsed="false">
      <c r="B33" s="13" t="s">
        <v>124</v>
      </c>
      <c r="D33" s="13" t="n">
        <f aca="false">SUM(D5:D31)</f>
        <v>187</v>
      </c>
      <c r="H33" s="18" t="n">
        <f aca="false">SUM(H5:H31)</f>
        <v>713346338.9125</v>
      </c>
    </row>
  </sheetData>
  <mergeCells count="1">
    <mergeCell ref="B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1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4" min="12" style="0" width="12"/>
    <col collapsed="false" customWidth="true" hidden="false" outlineLevel="0" max="22" min="15" style="0" width="13"/>
    <col collapsed="false" customWidth="true" hidden="false" outlineLevel="0" max="23" min="23" style="0" width="15"/>
  </cols>
  <sheetData>
    <row r="1" customFormat="false" ht="42" hidden="false" customHeight="true" outlineLevel="0" collapsed="false">
      <c r="A1" s="6" t="s">
        <v>125</v>
      </c>
      <c r="B1" s="6" t="s">
        <v>126</v>
      </c>
      <c r="C1" s="6" t="s">
        <v>127</v>
      </c>
      <c r="D1" s="6" t="s">
        <v>84</v>
      </c>
      <c r="E1" s="6" t="s">
        <v>85</v>
      </c>
      <c r="F1" s="6" t="s">
        <v>128</v>
      </c>
      <c r="G1" s="6" t="s">
        <v>129</v>
      </c>
      <c r="H1" s="6" t="s">
        <v>130</v>
      </c>
      <c r="I1" s="6" t="s">
        <v>131</v>
      </c>
      <c r="J1" s="6" t="s">
        <v>132</v>
      </c>
      <c r="K1" s="6" t="s">
        <v>133</v>
      </c>
      <c r="L1" s="6" t="s">
        <v>134</v>
      </c>
      <c r="M1" s="6" t="s">
        <v>135</v>
      </c>
      <c r="N1" s="6" t="s">
        <v>136</v>
      </c>
      <c r="O1" s="6" t="s">
        <v>137</v>
      </c>
      <c r="P1" s="6" t="s">
        <v>138</v>
      </c>
      <c r="Q1" s="6" t="s">
        <v>139</v>
      </c>
      <c r="R1" s="6" t="s">
        <v>140</v>
      </c>
      <c r="S1" s="6" t="s">
        <v>141</v>
      </c>
      <c r="T1" s="6" t="s">
        <v>142</v>
      </c>
      <c r="U1" s="6" t="s">
        <v>143</v>
      </c>
      <c r="V1" s="6" t="s">
        <v>144</v>
      </c>
      <c r="W1" s="6" t="s">
        <v>90</v>
      </c>
    </row>
    <row r="2" customFormat="false" ht="15" hidden="false" customHeight="false" outlineLevel="0" collapsed="false">
      <c r="A2" s="16" t="n">
        <v>1</v>
      </c>
      <c r="B2" s="16" t="s">
        <v>145</v>
      </c>
      <c r="C2" s="16" t="s">
        <v>146</v>
      </c>
      <c r="D2" s="16" t="s">
        <v>91</v>
      </c>
      <c r="E2" s="16" t="s">
        <v>92</v>
      </c>
      <c r="F2" s="16" t="s">
        <v>147</v>
      </c>
      <c r="G2" s="19" t="n">
        <v>41284</v>
      </c>
      <c r="H2" s="16" t="s">
        <v>148</v>
      </c>
      <c r="I2" s="16" t="s">
        <v>149</v>
      </c>
      <c r="J2" s="16" t="s">
        <v>150</v>
      </c>
      <c r="K2" s="20" t="n">
        <v>35000000</v>
      </c>
      <c r="L2" s="17" t="n">
        <f aca="false">IF(K2&lt;=2*Parametros_Legales!$C$5,Parametros_Legales!$C$6,0)</f>
        <v>0</v>
      </c>
      <c r="M2" s="17" t="n">
        <f aca="false">K2*Parametros_Legales!$C$7</f>
        <v>1400000</v>
      </c>
      <c r="N2" s="17" t="n">
        <f aca="false">K2*(Parametros_Legales!$C$9+IF(K2&gt;=4*Parametros_Legales!$C$5,Parametros_Legales!$C$11,0))</f>
        <v>1750000</v>
      </c>
      <c r="O2" s="17" t="n">
        <f aca="false">M2+N2</f>
        <v>3150000</v>
      </c>
      <c r="P2" s="17" t="n">
        <f aca="false">K2+L2-O2</f>
        <v>31850000</v>
      </c>
      <c r="Q2" s="17" t="n">
        <f aca="false">IF(K2&lt;Parametros_Legales!$C$15,0,K2*Parametros_Legales!$C$8)</f>
        <v>2975000</v>
      </c>
      <c r="R2" s="17" t="n">
        <f aca="false">K2*Parametros_Legales!$C$10</f>
        <v>4200000</v>
      </c>
      <c r="S2" s="17" t="n">
        <f aca="false">K2*Parametros_Legales!$C$12</f>
        <v>1400000</v>
      </c>
      <c r="T2" s="17" t="n">
        <f aca="false">K2*Parametros_Legales!$C$16</f>
        <v>2915500</v>
      </c>
      <c r="U2" s="17" t="n">
        <f aca="false">K2*Parametros_Legales!$C$18</f>
        <v>2915500</v>
      </c>
      <c r="V2" s="17" t="n">
        <f aca="false">K2*Parametros_Legales!$C$19</f>
        <v>1459500</v>
      </c>
      <c r="W2" s="17" t="n">
        <f aca="false">K2+L2+Q2+R2+S2+T2+U2+V2</f>
        <v>50865500</v>
      </c>
    </row>
    <row r="3" customFormat="false" ht="15" hidden="false" customHeight="false" outlineLevel="0" collapsed="false">
      <c r="A3" s="14" t="n">
        <v>2</v>
      </c>
      <c r="B3" s="14" t="s">
        <v>151</v>
      </c>
      <c r="C3" s="14" t="s">
        <v>152</v>
      </c>
      <c r="D3" s="14" t="s">
        <v>93</v>
      </c>
      <c r="E3" s="14" t="s">
        <v>94</v>
      </c>
      <c r="F3" s="14" t="s">
        <v>147</v>
      </c>
      <c r="G3" s="21" t="n">
        <v>43272</v>
      </c>
      <c r="H3" s="14" t="s">
        <v>148</v>
      </c>
      <c r="I3" s="14" t="s">
        <v>153</v>
      </c>
      <c r="J3" s="14" t="s">
        <v>154</v>
      </c>
      <c r="K3" s="22" t="n">
        <v>19000000</v>
      </c>
      <c r="L3" s="15" t="n">
        <f aca="false">IF(K3&lt;=2*Parametros_Legales!$C$5,Parametros_Legales!$C$6,0)</f>
        <v>0</v>
      </c>
      <c r="M3" s="15" t="n">
        <f aca="false">K3*Parametros_Legales!$C$7</f>
        <v>760000</v>
      </c>
      <c r="N3" s="15" t="n">
        <f aca="false">K3*(Parametros_Legales!$C$9+IF(K3&gt;=4*Parametros_Legales!$C$5,Parametros_Legales!$C$11,0))</f>
        <v>950000</v>
      </c>
      <c r="O3" s="15" t="n">
        <f aca="false">M3+N3</f>
        <v>1710000</v>
      </c>
      <c r="P3" s="15" t="n">
        <f aca="false">K3+L3-O3</f>
        <v>17290000</v>
      </c>
      <c r="Q3" s="15" t="n">
        <f aca="false">IF(K3&lt;Parametros_Legales!$C$15,0,K3*Parametros_Legales!$C$8)</f>
        <v>1615000</v>
      </c>
      <c r="R3" s="15" t="n">
        <f aca="false">K3*Parametros_Legales!$C$10</f>
        <v>2280000</v>
      </c>
      <c r="S3" s="15" t="n">
        <f aca="false">K3*Parametros_Legales!$C$12</f>
        <v>760000</v>
      </c>
      <c r="T3" s="15" t="n">
        <f aca="false">K3*Parametros_Legales!$C$16</f>
        <v>1582700</v>
      </c>
      <c r="U3" s="15" t="n">
        <f aca="false">K3*Parametros_Legales!$C$18</f>
        <v>1582700</v>
      </c>
      <c r="V3" s="15" t="n">
        <f aca="false">K3*Parametros_Legales!$C$19</f>
        <v>792300</v>
      </c>
      <c r="W3" s="15" t="n">
        <f aca="false">K3+L3+Q3+R3+S3+T3+U3+V3</f>
        <v>27612700</v>
      </c>
    </row>
    <row r="4" customFormat="false" ht="15" hidden="false" customHeight="false" outlineLevel="0" collapsed="false">
      <c r="A4" s="16" t="n">
        <v>3</v>
      </c>
      <c r="B4" s="16" t="s">
        <v>155</v>
      </c>
      <c r="C4" s="16" t="s">
        <v>156</v>
      </c>
      <c r="D4" s="16" t="s">
        <v>95</v>
      </c>
      <c r="E4" s="16" t="s">
        <v>96</v>
      </c>
      <c r="F4" s="16" t="s">
        <v>147</v>
      </c>
      <c r="G4" s="19" t="n">
        <v>43490</v>
      </c>
      <c r="H4" s="16" t="s">
        <v>148</v>
      </c>
      <c r="I4" s="16" t="s">
        <v>157</v>
      </c>
      <c r="J4" s="16" t="s">
        <v>158</v>
      </c>
      <c r="K4" s="20" t="n">
        <v>19500000</v>
      </c>
      <c r="L4" s="17" t="n">
        <f aca="false">IF(K4&lt;=2*Parametros_Legales!$C$5,Parametros_Legales!$C$6,0)</f>
        <v>0</v>
      </c>
      <c r="M4" s="17" t="n">
        <f aca="false">K4*Parametros_Legales!$C$7</f>
        <v>780000</v>
      </c>
      <c r="N4" s="17" t="n">
        <f aca="false">K4*(Parametros_Legales!$C$9+IF(K4&gt;=4*Parametros_Legales!$C$5,Parametros_Legales!$C$11,0))</f>
        <v>975000</v>
      </c>
      <c r="O4" s="17" t="n">
        <f aca="false">M4+N4</f>
        <v>1755000</v>
      </c>
      <c r="P4" s="17" t="n">
        <f aca="false">K4+L4-O4</f>
        <v>17745000</v>
      </c>
      <c r="Q4" s="17" t="n">
        <f aca="false">IF(K4&lt;Parametros_Legales!$C$15,0,K4*Parametros_Legales!$C$8)</f>
        <v>1657500</v>
      </c>
      <c r="R4" s="17" t="n">
        <f aca="false">K4*Parametros_Legales!$C$10</f>
        <v>2340000</v>
      </c>
      <c r="S4" s="17" t="n">
        <f aca="false">K4*Parametros_Legales!$C$12</f>
        <v>780000</v>
      </c>
      <c r="T4" s="17" t="n">
        <f aca="false">K4*Parametros_Legales!$C$16</f>
        <v>1624350</v>
      </c>
      <c r="U4" s="17" t="n">
        <f aca="false">K4*Parametros_Legales!$C$18</f>
        <v>1624350</v>
      </c>
      <c r="V4" s="17" t="n">
        <f aca="false">K4*Parametros_Legales!$C$19</f>
        <v>813150</v>
      </c>
      <c r="W4" s="17" t="n">
        <f aca="false">K4+L4+Q4+R4+S4+T4+U4+V4</f>
        <v>28339350</v>
      </c>
    </row>
    <row r="5" customFormat="false" ht="15" hidden="false" customHeight="false" outlineLevel="0" collapsed="false">
      <c r="A5" s="14" t="n">
        <v>4</v>
      </c>
      <c r="B5" s="14" t="s">
        <v>159</v>
      </c>
      <c r="C5" s="14" t="s">
        <v>160</v>
      </c>
      <c r="D5" s="14" t="s">
        <v>97</v>
      </c>
      <c r="E5" s="14" t="s">
        <v>98</v>
      </c>
      <c r="F5" s="14" t="s">
        <v>147</v>
      </c>
      <c r="G5" s="21" t="n">
        <v>43231</v>
      </c>
      <c r="H5" s="14" t="s">
        <v>148</v>
      </c>
      <c r="I5" s="14" t="s">
        <v>161</v>
      </c>
      <c r="J5" s="14" t="s">
        <v>162</v>
      </c>
      <c r="K5" s="22" t="n">
        <v>18500000</v>
      </c>
      <c r="L5" s="15" t="n">
        <f aca="false">IF(K5&lt;=2*Parametros_Legales!$C$5,Parametros_Legales!$C$6,0)</f>
        <v>0</v>
      </c>
      <c r="M5" s="15" t="n">
        <f aca="false">K5*Parametros_Legales!$C$7</f>
        <v>740000</v>
      </c>
      <c r="N5" s="15" t="n">
        <f aca="false">K5*(Parametros_Legales!$C$9+IF(K5&gt;=4*Parametros_Legales!$C$5,Parametros_Legales!$C$11,0))</f>
        <v>925000</v>
      </c>
      <c r="O5" s="15" t="n">
        <f aca="false">M5+N5</f>
        <v>1665000</v>
      </c>
      <c r="P5" s="15" t="n">
        <f aca="false">K5+L5-O5</f>
        <v>16835000</v>
      </c>
      <c r="Q5" s="15" t="n">
        <f aca="false">IF(K5&lt;Parametros_Legales!$C$15,0,K5*Parametros_Legales!$C$8)</f>
        <v>1572500</v>
      </c>
      <c r="R5" s="15" t="n">
        <f aca="false">K5*Parametros_Legales!$C$10</f>
        <v>2220000</v>
      </c>
      <c r="S5" s="15" t="n">
        <f aca="false">K5*Parametros_Legales!$C$12</f>
        <v>740000</v>
      </c>
      <c r="T5" s="15" t="n">
        <f aca="false">K5*Parametros_Legales!$C$16</f>
        <v>1541050</v>
      </c>
      <c r="U5" s="15" t="n">
        <f aca="false">K5*Parametros_Legales!$C$18</f>
        <v>1541050</v>
      </c>
      <c r="V5" s="15" t="n">
        <f aca="false">K5*Parametros_Legales!$C$19</f>
        <v>771450</v>
      </c>
      <c r="W5" s="15" t="n">
        <f aca="false">K5+L5+Q5+R5+S5+T5+U5+V5</f>
        <v>26886050</v>
      </c>
    </row>
    <row r="6" customFormat="false" ht="15" hidden="false" customHeight="false" outlineLevel="0" collapsed="false">
      <c r="A6" s="16" t="n">
        <v>5</v>
      </c>
      <c r="B6" s="16" t="s">
        <v>163</v>
      </c>
      <c r="C6" s="16" t="s">
        <v>164</v>
      </c>
      <c r="D6" s="16" t="s">
        <v>99</v>
      </c>
      <c r="E6" s="16" t="s">
        <v>100</v>
      </c>
      <c r="F6" s="16" t="s">
        <v>147</v>
      </c>
      <c r="G6" s="19" t="n">
        <v>44209</v>
      </c>
      <c r="H6" s="16" t="s">
        <v>148</v>
      </c>
      <c r="I6" s="16" t="s">
        <v>165</v>
      </c>
      <c r="J6" s="16" t="s">
        <v>150</v>
      </c>
      <c r="K6" s="20" t="n">
        <v>16500000</v>
      </c>
      <c r="L6" s="17" t="n">
        <f aca="false">IF(K6&lt;=2*Parametros_Legales!$C$5,Parametros_Legales!$C$6,0)</f>
        <v>0</v>
      </c>
      <c r="M6" s="17" t="n">
        <f aca="false">K6*Parametros_Legales!$C$7</f>
        <v>660000</v>
      </c>
      <c r="N6" s="17" t="n">
        <f aca="false">K6*(Parametros_Legales!$C$9+IF(K6&gt;=4*Parametros_Legales!$C$5,Parametros_Legales!$C$11,0))</f>
        <v>825000</v>
      </c>
      <c r="O6" s="17" t="n">
        <f aca="false">M6+N6</f>
        <v>1485000</v>
      </c>
      <c r="P6" s="17" t="n">
        <f aca="false">K6+L6-O6</f>
        <v>15015000</v>
      </c>
      <c r="Q6" s="17" t="n">
        <f aca="false">IF(K6&lt;Parametros_Legales!$C$15,0,K6*Parametros_Legales!$C$8)</f>
        <v>1402500</v>
      </c>
      <c r="R6" s="17" t="n">
        <f aca="false">K6*Parametros_Legales!$C$10</f>
        <v>1980000</v>
      </c>
      <c r="S6" s="17" t="n">
        <f aca="false">K6*Parametros_Legales!$C$12</f>
        <v>660000</v>
      </c>
      <c r="T6" s="17" t="n">
        <f aca="false">K6*Parametros_Legales!$C$16</f>
        <v>1374450</v>
      </c>
      <c r="U6" s="17" t="n">
        <f aca="false">K6*Parametros_Legales!$C$18</f>
        <v>1374450</v>
      </c>
      <c r="V6" s="17" t="n">
        <f aca="false">K6*Parametros_Legales!$C$19</f>
        <v>688050</v>
      </c>
      <c r="W6" s="17" t="n">
        <f aca="false">K6+L6+Q6+R6+S6+T6+U6+V6</f>
        <v>23979450</v>
      </c>
    </row>
    <row r="7" customFormat="false" ht="15" hidden="false" customHeight="false" outlineLevel="0" collapsed="false">
      <c r="A7" s="14" t="n">
        <v>6</v>
      </c>
      <c r="B7" s="14" t="s">
        <v>166</v>
      </c>
      <c r="C7" s="14" t="s">
        <v>167</v>
      </c>
      <c r="D7" s="14" t="s">
        <v>101</v>
      </c>
      <c r="E7" s="14" t="s">
        <v>102</v>
      </c>
      <c r="F7" s="14" t="s">
        <v>147</v>
      </c>
      <c r="G7" s="21" t="n">
        <v>44032</v>
      </c>
      <c r="H7" s="14" t="s">
        <v>148</v>
      </c>
      <c r="I7" s="14" t="s">
        <v>149</v>
      </c>
      <c r="J7" s="14" t="s">
        <v>154</v>
      </c>
      <c r="K7" s="22" t="n">
        <v>9800000</v>
      </c>
      <c r="L7" s="15" t="n">
        <f aca="false">IF(K7&lt;=2*Parametros_Legales!$C$5,Parametros_Legales!$C$6,0)</f>
        <v>0</v>
      </c>
      <c r="M7" s="15" t="n">
        <f aca="false">K7*Parametros_Legales!$C$7</f>
        <v>392000</v>
      </c>
      <c r="N7" s="15" t="n">
        <f aca="false">K7*(Parametros_Legales!$C$9+IF(K7&gt;=4*Parametros_Legales!$C$5,Parametros_Legales!$C$11,0))</f>
        <v>490000</v>
      </c>
      <c r="O7" s="15" t="n">
        <f aca="false">M7+N7</f>
        <v>882000</v>
      </c>
      <c r="P7" s="15" t="n">
        <f aca="false">K7+L7-O7</f>
        <v>8918000</v>
      </c>
      <c r="Q7" s="15" t="n">
        <f aca="false">IF(K7&lt;Parametros_Legales!$C$15,0,K7*Parametros_Legales!$C$8)</f>
        <v>0</v>
      </c>
      <c r="R7" s="15" t="n">
        <f aca="false">K7*Parametros_Legales!$C$10</f>
        <v>1176000</v>
      </c>
      <c r="S7" s="15" t="n">
        <f aca="false">K7*Parametros_Legales!$C$12</f>
        <v>392000</v>
      </c>
      <c r="T7" s="15" t="n">
        <f aca="false">K7*Parametros_Legales!$C$16</f>
        <v>816340</v>
      </c>
      <c r="U7" s="15" t="n">
        <f aca="false">K7*Parametros_Legales!$C$18</f>
        <v>816340</v>
      </c>
      <c r="V7" s="15" t="n">
        <f aca="false">K7*Parametros_Legales!$C$19</f>
        <v>408660</v>
      </c>
      <c r="W7" s="15" t="n">
        <f aca="false">K7+L7+Q7+R7+S7+T7+U7+V7</f>
        <v>13409340</v>
      </c>
    </row>
    <row r="8" customFormat="false" ht="15" hidden="false" customHeight="false" outlineLevel="0" collapsed="false">
      <c r="A8" s="16" t="n">
        <v>7</v>
      </c>
      <c r="B8" s="16" t="s">
        <v>168</v>
      </c>
      <c r="C8" s="16" t="s">
        <v>169</v>
      </c>
      <c r="D8" s="16" t="s">
        <v>103</v>
      </c>
      <c r="E8" s="16" t="s">
        <v>96</v>
      </c>
      <c r="F8" s="16" t="s">
        <v>147</v>
      </c>
      <c r="G8" s="19" t="n">
        <v>43574</v>
      </c>
      <c r="H8" s="16" t="s">
        <v>148</v>
      </c>
      <c r="I8" s="16" t="s">
        <v>153</v>
      </c>
      <c r="J8" s="16" t="s">
        <v>158</v>
      </c>
      <c r="K8" s="20" t="n">
        <v>6800000</v>
      </c>
      <c r="L8" s="17" t="n">
        <f aca="false">IF(K8&lt;=2*Parametros_Legales!$C$5,Parametros_Legales!$C$6,0)</f>
        <v>0</v>
      </c>
      <c r="M8" s="17" t="n">
        <f aca="false">K8*Parametros_Legales!$C$7</f>
        <v>272000</v>
      </c>
      <c r="N8" s="17" t="n">
        <f aca="false">K8*(Parametros_Legales!$C$9+IF(K8&gt;=4*Parametros_Legales!$C$5,Parametros_Legales!$C$11,0))</f>
        <v>340000</v>
      </c>
      <c r="O8" s="17" t="n">
        <f aca="false">M8+N8</f>
        <v>612000</v>
      </c>
      <c r="P8" s="17" t="n">
        <f aca="false">K8+L8-O8</f>
        <v>6188000</v>
      </c>
      <c r="Q8" s="17" t="n">
        <f aca="false">IF(K8&lt;Parametros_Legales!$C$15,0,K8*Parametros_Legales!$C$8)</f>
        <v>0</v>
      </c>
      <c r="R8" s="17" t="n">
        <f aca="false">K8*Parametros_Legales!$C$10</f>
        <v>816000</v>
      </c>
      <c r="S8" s="17" t="n">
        <f aca="false">K8*Parametros_Legales!$C$12</f>
        <v>272000</v>
      </c>
      <c r="T8" s="17" t="n">
        <f aca="false">K8*Parametros_Legales!$C$16</f>
        <v>566440</v>
      </c>
      <c r="U8" s="17" t="n">
        <f aca="false">K8*Parametros_Legales!$C$18</f>
        <v>566440</v>
      </c>
      <c r="V8" s="17" t="n">
        <f aca="false">K8*Parametros_Legales!$C$19</f>
        <v>283560</v>
      </c>
      <c r="W8" s="17" t="n">
        <f aca="false">K8+L8+Q8+R8+S8+T8+U8+V8</f>
        <v>9304440</v>
      </c>
    </row>
    <row r="9" customFormat="false" ht="15" hidden="false" customHeight="false" outlineLevel="0" collapsed="false">
      <c r="A9" s="14" t="n">
        <v>8</v>
      </c>
      <c r="B9" s="14" t="s">
        <v>170</v>
      </c>
      <c r="C9" s="14" t="s">
        <v>171</v>
      </c>
      <c r="D9" s="14" t="s">
        <v>104</v>
      </c>
      <c r="E9" s="14" t="s">
        <v>96</v>
      </c>
      <c r="F9" s="14" t="s">
        <v>147</v>
      </c>
      <c r="G9" s="21" t="n">
        <v>45083</v>
      </c>
      <c r="H9" s="14" t="s">
        <v>148</v>
      </c>
      <c r="I9" s="14" t="s">
        <v>157</v>
      </c>
      <c r="J9" s="14" t="s">
        <v>162</v>
      </c>
      <c r="K9" s="22" t="n">
        <v>7000000</v>
      </c>
      <c r="L9" s="15" t="n">
        <f aca="false">IF(K9&lt;=2*Parametros_Legales!$C$5,Parametros_Legales!$C$6,0)</f>
        <v>0</v>
      </c>
      <c r="M9" s="15" t="n">
        <f aca="false">K9*Parametros_Legales!$C$7</f>
        <v>280000</v>
      </c>
      <c r="N9" s="15" t="n">
        <f aca="false">K9*(Parametros_Legales!$C$9+IF(K9&gt;=4*Parametros_Legales!$C$5,Parametros_Legales!$C$11,0))</f>
        <v>350000</v>
      </c>
      <c r="O9" s="15" t="n">
        <f aca="false">M9+N9</f>
        <v>630000</v>
      </c>
      <c r="P9" s="15" t="n">
        <f aca="false">K9+L9-O9</f>
        <v>6370000</v>
      </c>
      <c r="Q9" s="15" t="n">
        <f aca="false">IF(K9&lt;Parametros_Legales!$C$15,0,K9*Parametros_Legales!$C$8)</f>
        <v>0</v>
      </c>
      <c r="R9" s="15" t="n">
        <f aca="false">K9*Parametros_Legales!$C$10</f>
        <v>840000</v>
      </c>
      <c r="S9" s="15" t="n">
        <f aca="false">K9*Parametros_Legales!$C$12</f>
        <v>280000</v>
      </c>
      <c r="T9" s="15" t="n">
        <f aca="false">K9*Parametros_Legales!$C$16</f>
        <v>583100</v>
      </c>
      <c r="U9" s="15" t="n">
        <f aca="false">K9*Parametros_Legales!$C$18</f>
        <v>583100</v>
      </c>
      <c r="V9" s="15" t="n">
        <f aca="false">K9*Parametros_Legales!$C$19</f>
        <v>291900</v>
      </c>
      <c r="W9" s="15" t="n">
        <f aca="false">K9+L9+Q9+R9+S9+T9+U9+V9</f>
        <v>9578100</v>
      </c>
    </row>
    <row r="10" customFormat="false" ht="15" hidden="false" customHeight="false" outlineLevel="0" collapsed="false">
      <c r="A10" s="16" t="n">
        <v>9</v>
      </c>
      <c r="B10" s="16" t="s">
        <v>172</v>
      </c>
      <c r="C10" s="16" t="s">
        <v>173</v>
      </c>
      <c r="D10" s="16" t="s">
        <v>105</v>
      </c>
      <c r="E10" s="16" t="s">
        <v>96</v>
      </c>
      <c r="F10" s="16" t="s">
        <v>147</v>
      </c>
      <c r="G10" s="19" t="n">
        <v>45322</v>
      </c>
      <c r="H10" s="16" t="s">
        <v>148</v>
      </c>
      <c r="I10" s="16" t="s">
        <v>161</v>
      </c>
      <c r="J10" s="16" t="s">
        <v>150</v>
      </c>
      <c r="K10" s="20" t="n">
        <v>5600000</v>
      </c>
      <c r="L10" s="17" t="n">
        <f aca="false">IF(K10&lt;=2*Parametros_Legales!$C$5,Parametros_Legales!$C$6,0)</f>
        <v>0</v>
      </c>
      <c r="M10" s="17" t="n">
        <f aca="false">K10*Parametros_Legales!$C$7</f>
        <v>224000</v>
      </c>
      <c r="N10" s="17" t="n">
        <f aca="false">K10*(Parametros_Legales!$C$9+IF(K10&gt;=4*Parametros_Legales!$C$5,Parametros_Legales!$C$11,0))</f>
        <v>224000</v>
      </c>
      <c r="O10" s="17" t="n">
        <f aca="false">M10+N10</f>
        <v>448000</v>
      </c>
      <c r="P10" s="17" t="n">
        <f aca="false">K10+L10-O10</f>
        <v>5152000</v>
      </c>
      <c r="Q10" s="17" t="n">
        <f aca="false">IF(K10&lt;Parametros_Legales!$C$15,0,K10*Parametros_Legales!$C$8)</f>
        <v>0</v>
      </c>
      <c r="R10" s="17" t="n">
        <f aca="false">K10*Parametros_Legales!$C$10</f>
        <v>672000</v>
      </c>
      <c r="S10" s="17" t="n">
        <f aca="false">K10*Parametros_Legales!$C$12</f>
        <v>224000</v>
      </c>
      <c r="T10" s="17" t="n">
        <f aca="false">K10*Parametros_Legales!$C$16</f>
        <v>466480</v>
      </c>
      <c r="U10" s="17" t="n">
        <f aca="false">K10*Parametros_Legales!$C$18</f>
        <v>466480</v>
      </c>
      <c r="V10" s="17" t="n">
        <f aca="false">K10*Parametros_Legales!$C$19</f>
        <v>233520</v>
      </c>
      <c r="W10" s="17" t="n">
        <f aca="false">K10+L10+Q10+R10+S10+T10+U10+V10</f>
        <v>7662480</v>
      </c>
    </row>
    <row r="11" customFormat="false" ht="15" hidden="false" customHeight="false" outlineLevel="0" collapsed="false">
      <c r="A11" s="14" t="n">
        <v>10</v>
      </c>
      <c r="B11" s="14" t="s">
        <v>174</v>
      </c>
      <c r="C11" s="14" t="s">
        <v>175</v>
      </c>
      <c r="D11" s="14" t="s">
        <v>106</v>
      </c>
      <c r="E11" s="14" t="s">
        <v>98</v>
      </c>
      <c r="F11" s="14" t="s">
        <v>147</v>
      </c>
      <c r="G11" s="21" t="n">
        <v>44307</v>
      </c>
      <c r="H11" s="14" t="s">
        <v>176</v>
      </c>
      <c r="I11" s="14" t="s">
        <v>165</v>
      </c>
      <c r="J11" s="14" t="s">
        <v>154</v>
      </c>
      <c r="K11" s="22" t="n">
        <v>6200000</v>
      </c>
      <c r="L11" s="15" t="n">
        <f aca="false">IF(K11&lt;=2*Parametros_Legales!$C$5,Parametros_Legales!$C$6,0)</f>
        <v>0</v>
      </c>
      <c r="M11" s="15" t="n">
        <f aca="false">K11*Parametros_Legales!$C$7</f>
        <v>248000</v>
      </c>
      <c r="N11" s="15" t="n">
        <f aca="false">K11*(Parametros_Legales!$C$9+IF(K11&gt;=4*Parametros_Legales!$C$5,Parametros_Legales!$C$11,0))</f>
        <v>310000</v>
      </c>
      <c r="O11" s="15" t="n">
        <f aca="false">M11+N11</f>
        <v>558000</v>
      </c>
      <c r="P11" s="15" t="n">
        <f aca="false">K11+L11-O11</f>
        <v>5642000</v>
      </c>
      <c r="Q11" s="15" t="n">
        <f aca="false">IF(K11&lt;Parametros_Legales!$C$15,0,K11*Parametros_Legales!$C$8)</f>
        <v>0</v>
      </c>
      <c r="R11" s="15" t="n">
        <f aca="false">K11*Parametros_Legales!$C$10</f>
        <v>744000</v>
      </c>
      <c r="S11" s="15" t="n">
        <f aca="false">K11*Parametros_Legales!$C$12</f>
        <v>248000</v>
      </c>
      <c r="T11" s="15" t="n">
        <f aca="false">K11*Parametros_Legales!$C$16</f>
        <v>516460</v>
      </c>
      <c r="U11" s="15" t="n">
        <f aca="false">K11*Parametros_Legales!$C$18</f>
        <v>516460</v>
      </c>
      <c r="V11" s="15" t="n">
        <f aca="false">K11*Parametros_Legales!$C$19</f>
        <v>258540</v>
      </c>
      <c r="W11" s="15" t="n">
        <f aca="false">K11+L11+Q11+R11+S11+T11+U11+V11</f>
        <v>8483460</v>
      </c>
    </row>
    <row r="12" customFormat="false" ht="15" hidden="false" customHeight="false" outlineLevel="0" collapsed="false">
      <c r="A12" s="16" t="n">
        <v>11</v>
      </c>
      <c r="B12" s="16" t="s">
        <v>177</v>
      </c>
      <c r="C12" s="16" t="s">
        <v>178</v>
      </c>
      <c r="D12" s="16" t="s">
        <v>107</v>
      </c>
      <c r="E12" s="16" t="s">
        <v>98</v>
      </c>
      <c r="F12" s="16" t="s">
        <v>147</v>
      </c>
      <c r="G12" s="19" t="n">
        <v>43916</v>
      </c>
      <c r="H12" s="16" t="s">
        <v>179</v>
      </c>
      <c r="I12" s="16" t="s">
        <v>149</v>
      </c>
      <c r="J12" s="16" t="s">
        <v>158</v>
      </c>
      <c r="K12" s="20" t="n">
        <v>6400000</v>
      </c>
      <c r="L12" s="17" t="n">
        <f aca="false">IF(K12&lt;=2*Parametros_Legales!$C$5,Parametros_Legales!$C$6,0)</f>
        <v>0</v>
      </c>
      <c r="M12" s="17" t="n">
        <f aca="false">K12*Parametros_Legales!$C$7</f>
        <v>256000</v>
      </c>
      <c r="N12" s="17" t="n">
        <f aca="false">K12*(Parametros_Legales!$C$9+IF(K12&gt;=4*Parametros_Legales!$C$5,Parametros_Legales!$C$11,0))</f>
        <v>320000</v>
      </c>
      <c r="O12" s="17" t="n">
        <f aca="false">M12+N12</f>
        <v>576000</v>
      </c>
      <c r="P12" s="17" t="n">
        <f aca="false">K12+L12-O12</f>
        <v>5824000</v>
      </c>
      <c r="Q12" s="17" t="n">
        <f aca="false">IF(K12&lt;Parametros_Legales!$C$15,0,K12*Parametros_Legales!$C$8)</f>
        <v>0</v>
      </c>
      <c r="R12" s="17" t="n">
        <f aca="false">K12*Parametros_Legales!$C$10</f>
        <v>768000</v>
      </c>
      <c r="S12" s="17" t="n">
        <f aca="false">K12*Parametros_Legales!$C$12</f>
        <v>256000</v>
      </c>
      <c r="T12" s="17" t="n">
        <f aca="false">K12*Parametros_Legales!$C$16</f>
        <v>533120</v>
      </c>
      <c r="U12" s="17" t="n">
        <f aca="false">K12*Parametros_Legales!$C$18</f>
        <v>533120</v>
      </c>
      <c r="V12" s="17" t="n">
        <f aca="false">K12*Parametros_Legales!$C$19</f>
        <v>266880</v>
      </c>
      <c r="W12" s="17" t="n">
        <f aca="false">K12+L12+Q12+R12+S12+T12+U12+V12</f>
        <v>8757120</v>
      </c>
    </row>
    <row r="13" customFormat="false" ht="15" hidden="false" customHeight="false" outlineLevel="0" collapsed="false">
      <c r="A13" s="14" t="n">
        <v>12</v>
      </c>
      <c r="B13" s="14" t="s">
        <v>180</v>
      </c>
      <c r="C13" s="14" t="s">
        <v>181</v>
      </c>
      <c r="D13" s="14" t="s">
        <v>108</v>
      </c>
      <c r="E13" s="14" t="s">
        <v>98</v>
      </c>
      <c r="F13" s="14" t="s">
        <v>147</v>
      </c>
      <c r="G13" s="21" t="n">
        <v>44364</v>
      </c>
      <c r="H13" s="14" t="s">
        <v>148</v>
      </c>
      <c r="I13" s="14" t="s">
        <v>153</v>
      </c>
      <c r="J13" s="14" t="s">
        <v>162</v>
      </c>
      <c r="K13" s="22" t="n">
        <v>5800000</v>
      </c>
      <c r="L13" s="15" t="n">
        <f aca="false">IF(K13&lt;=2*Parametros_Legales!$C$5,Parametros_Legales!$C$6,0)</f>
        <v>0</v>
      </c>
      <c r="M13" s="15" t="n">
        <f aca="false">K13*Parametros_Legales!$C$7</f>
        <v>232000</v>
      </c>
      <c r="N13" s="15" t="n">
        <f aca="false">K13*(Parametros_Legales!$C$9+IF(K13&gt;=4*Parametros_Legales!$C$5,Parametros_Legales!$C$11,0))</f>
        <v>290000</v>
      </c>
      <c r="O13" s="15" t="n">
        <f aca="false">M13+N13</f>
        <v>522000</v>
      </c>
      <c r="P13" s="15" t="n">
        <f aca="false">K13+L13-O13</f>
        <v>5278000</v>
      </c>
      <c r="Q13" s="15" t="n">
        <f aca="false">IF(K13&lt;Parametros_Legales!$C$15,0,K13*Parametros_Legales!$C$8)</f>
        <v>0</v>
      </c>
      <c r="R13" s="15" t="n">
        <f aca="false">K13*Parametros_Legales!$C$10</f>
        <v>696000</v>
      </c>
      <c r="S13" s="15" t="n">
        <f aca="false">K13*Parametros_Legales!$C$12</f>
        <v>232000</v>
      </c>
      <c r="T13" s="15" t="n">
        <f aca="false">K13*Parametros_Legales!$C$16</f>
        <v>483140</v>
      </c>
      <c r="U13" s="15" t="n">
        <f aca="false">K13*Parametros_Legales!$C$18</f>
        <v>483140</v>
      </c>
      <c r="V13" s="15" t="n">
        <f aca="false">K13*Parametros_Legales!$C$19</f>
        <v>241860</v>
      </c>
      <c r="W13" s="15" t="n">
        <f aca="false">K13+L13+Q13+R13+S13+T13+U13+V13</f>
        <v>7936140</v>
      </c>
    </row>
    <row r="14" customFormat="false" ht="15" hidden="false" customHeight="false" outlineLevel="0" collapsed="false">
      <c r="A14" s="16" t="n">
        <v>13</v>
      </c>
      <c r="B14" s="16" t="s">
        <v>182</v>
      </c>
      <c r="C14" s="16" t="s">
        <v>183</v>
      </c>
      <c r="D14" s="16" t="s">
        <v>109</v>
      </c>
      <c r="E14" s="16" t="s">
        <v>94</v>
      </c>
      <c r="F14" s="16" t="s">
        <v>147</v>
      </c>
      <c r="G14" s="19" t="n">
        <v>43818</v>
      </c>
      <c r="H14" s="16" t="s">
        <v>148</v>
      </c>
      <c r="I14" s="16" t="s">
        <v>157</v>
      </c>
      <c r="J14" s="16" t="s">
        <v>150</v>
      </c>
      <c r="K14" s="20" t="n">
        <v>5500000</v>
      </c>
      <c r="L14" s="17" t="n">
        <f aca="false">IF(K14&lt;=2*Parametros_Legales!$C$5,Parametros_Legales!$C$6,0)</f>
        <v>0</v>
      </c>
      <c r="M14" s="17" t="n">
        <f aca="false">K14*Parametros_Legales!$C$7</f>
        <v>220000</v>
      </c>
      <c r="N14" s="17" t="n">
        <f aca="false">K14*(Parametros_Legales!$C$9+IF(K14&gt;=4*Parametros_Legales!$C$5,Parametros_Legales!$C$11,0))</f>
        <v>220000</v>
      </c>
      <c r="O14" s="17" t="n">
        <f aca="false">M14+N14</f>
        <v>440000</v>
      </c>
      <c r="P14" s="17" t="n">
        <f aca="false">K14+L14-O14</f>
        <v>5060000</v>
      </c>
      <c r="Q14" s="17" t="n">
        <f aca="false">IF(K14&lt;Parametros_Legales!$C$15,0,K14*Parametros_Legales!$C$8)</f>
        <v>0</v>
      </c>
      <c r="R14" s="17" t="n">
        <f aca="false">K14*Parametros_Legales!$C$10</f>
        <v>660000</v>
      </c>
      <c r="S14" s="17" t="n">
        <f aca="false">K14*Parametros_Legales!$C$12</f>
        <v>220000</v>
      </c>
      <c r="T14" s="17" t="n">
        <f aca="false">K14*Parametros_Legales!$C$16</f>
        <v>458150</v>
      </c>
      <c r="U14" s="17" t="n">
        <f aca="false">K14*Parametros_Legales!$C$18</f>
        <v>458150</v>
      </c>
      <c r="V14" s="17" t="n">
        <f aca="false">K14*Parametros_Legales!$C$19</f>
        <v>229350</v>
      </c>
      <c r="W14" s="17" t="n">
        <f aca="false">K14+L14+Q14+R14+S14+T14+U14+V14</f>
        <v>7525650</v>
      </c>
    </row>
    <row r="15" customFormat="false" ht="15" hidden="false" customHeight="false" outlineLevel="0" collapsed="false">
      <c r="A15" s="14" t="n">
        <v>14</v>
      </c>
      <c r="B15" s="14" t="s">
        <v>184</v>
      </c>
      <c r="C15" s="14" t="s">
        <v>185</v>
      </c>
      <c r="D15" s="14" t="s">
        <v>110</v>
      </c>
      <c r="E15" s="14" t="s">
        <v>94</v>
      </c>
      <c r="F15" s="14" t="s">
        <v>147</v>
      </c>
      <c r="G15" s="21" t="n">
        <v>44032</v>
      </c>
      <c r="H15" s="14" t="s">
        <v>148</v>
      </c>
      <c r="I15" s="14" t="s">
        <v>161</v>
      </c>
      <c r="J15" s="14" t="s">
        <v>154</v>
      </c>
      <c r="K15" s="22" t="n">
        <v>5700000</v>
      </c>
      <c r="L15" s="15" t="n">
        <f aca="false">IF(K15&lt;=2*Parametros_Legales!$C$5,Parametros_Legales!$C$6,0)</f>
        <v>0</v>
      </c>
      <c r="M15" s="15" t="n">
        <f aca="false">K15*Parametros_Legales!$C$7</f>
        <v>228000</v>
      </c>
      <c r="N15" s="15" t="n">
        <f aca="false">K15*(Parametros_Legales!$C$9+IF(K15&gt;=4*Parametros_Legales!$C$5,Parametros_Legales!$C$11,0))</f>
        <v>285000</v>
      </c>
      <c r="O15" s="15" t="n">
        <f aca="false">M15+N15</f>
        <v>513000</v>
      </c>
      <c r="P15" s="15" t="n">
        <f aca="false">K15+L15-O15</f>
        <v>5187000</v>
      </c>
      <c r="Q15" s="15" t="n">
        <f aca="false">IF(K15&lt;Parametros_Legales!$C$15,0,K15*Parametros_Legales!$C$8)</f>
        <v>0</v>
      </c>
      <c r="R15" s="15" t="n">
        <f aca="false">K15*Parametros_Legales!$C$10</f>
        <v>684000</v>
      </c>
      <c r="S15" s="15" t="n">
        <f aca="false">K15*Parametros_Legales!$C$12</f>
        <v>228000</v>
      </c>
      <c r="T15" s="15" t="n">
        <f aca="false">K15*Parametros_Legales!$C$16</f>
        <v>474810</v>
      </c>
      <c r="U15" s="15" t="n">
        <f aca="false">K15*Parametros_Legales!$C$18</f>
        <v>474810</v>
      </c>
      <c r="V15" s="15" t="n">
        <f aca="false">K15*Parametros_Legales!$C$19</f>
        <v>237690</v>
      </c>
      <c r="W15" s="15" t="n">
        <f aca="false">K15+L15+Q15+R15+S15+T15+U15+V15</f>
        <v>7799310</v>
      </c>
    </row>
    <row r="16" customFormat="false" ht="15" hidden="false" customHeight="false" outlineLevel="0" collapsed="false">
      <c r="A16" s="16" t="n">
        <v>15</v>
      </c>
      <c r="B16" s="16" t="s">
        <v>186</v>
      </c>
      <c r="C16" s="16" t="s">
        <v>187</v>
      </c>
      <c r="D16" s="16" t="s">
        <v>111</v>
      </c>
      <c r="E16" s="16" t="s">
        <v>100</v>
      </c>
      <c r="F16" s="16" t="s">
        <v>147</v>
      </c>
      <c r="G16" s="19" t="n">
        <v>45062</v>
      </c>
      <c r="H16" s="16" t="s">
        <v>148</v>
      </c>
      <c r="I16" s="16" t="s">
        <v>165</v>
      </c>
      <c r="J16" s="16" t="s">
        <v>158</v>
      </c>
      <c r="K16" s="20" t="n">
        <v>5300000</v>
      </c>
      <c r="L16" s="17" t="n">
        <f aca="false">IF(K16&lt;=2*Parametros_Legales!$C$5,Parametros_Legales!$C$6,0)</f>
        <v>0</v>
      </c>
      <c r="M16" s="17" t="n">
        <f aca="false">K16*Parametros_Legales!$C$7</f>
        <v>212000</v>
      </c>
      <c r="N16" s="17" t="n">
        <f aca="false">K16*(Parametros_Legales!$C$9+IF(K16&gt;=4*Parametros_Legales!$C$5,Parametros_Legales!$C$11,0))</f>
        <v>212000</v>
      </c>
      <c r="O16" s="17" t="n">
        <f aca="false">M16+N16</f>
        <v>424000</v>
      </c>
      <c r="P16" s="17" t="n">
        <f aca="false">K16+L16-O16</f>
        <v>4876000</v>
      </c>
      <c r="Q16" s="17" t="n">
        <f aca="false">IF(K16&lt;Parametros_Legales!$C$15,0,K16*Parametros_Legales!$C$8)</f>
        <v>0</v>
      </c>
      <c r="R16" s="17" t="n">
        <f aca="false">K16*Parametros_Legales!$C$10</f>
        <v>636000</v>
      </c>
      <c r="S16" s="17" t="n">
        <f aca="false">K16*Parametros_Legales!$C$12</f>
        <v>212000</v>
      </c>
      <c r="T16" s="17" t="n">
        <f aca="false">K16*Parametros_Legales!$C$16</f>
        <v>441490</v>
      </c>
      <c r="U16" s="17" t="n">
        <f aca="false">K16*Parametros_Legales!$C$18</f>
        <v>441490</v>
      </c>
      <c r="V16" s="17" t="n">
        <f aca="false">K16*Parametros_Legales!$C$19</f>
        <v>221010</v>
      </c>
      <c r="W16" s="17" t="n">
        <f aca="false">K16+L16+Q16+R16+S16+T16+U16+V16</f>
        <v>7251990</v>
      </c>
    </row>
    <row r="17" customFormat="false" ht="15" hidden="false" customHeight="false" outlineLevel="0" collapsed="false">
      <c r="A17" s="14" t="n">
        <v>16</v>
      </c>
      <c r="B17" s="14" t="s">
        <v>188</v>
      </c>
      <c r="C17" s="14" t="s">
        <v>189</v>
      </c>
      <c r="D17" s="14" t="s">
        <v>112</v>
      </c>
      <c r="E17" s="14" t="s">
        <v>100</v>
      </c>
      <c r="F17" s="14" t="s">
        <v>147</v>
      </c>
      <c r="G17" s="21" t="n">
        <v>44944</v>
      </c>
      <c r="H17" s="14" t="s">
        <v>148</v>
      </c>
      <c r="I17" s="14" t="s">
        <v>149</v>
      </c>
      <c r="J17" s="14" t="s">
        <v>162</v>
      </c>
      <c r="K17" s="22" t="n">
        <v>5400000</v>
      </c>
      <c r="L17" s="15" t="n">
        <f aca="false">IF(K17&lt;=2*Parametros_Legales!$C$5,Parametros_Legales!$C$6,0)</f>
        <v>0</v>
      </c>
      <c r="M17" s="15" t="n">
        <f aca="false">K17*Parametros_Legales!$C$7</f>
        <v>216000</v>
      </c>
      <c r="N17" s="15" t="n">
        <f aca="false">K17*(Parametros_Legales!$C$9+IF(K17&gt;=4*Parametros_Legales!$C$5,Parametros_Legales!$C$11,0))</f>
        <v>216000</v>
      </c>
      <c r="O17" s="15" t="n">
        <f aca="false">M17+N17</f>
        <v>432000</v>
      </c>
      <c r="P17" s="15" t="n">
        <f aca="false">K17+L17-O17</f>
        <v>4968000</v>
      </c>
      <c r="Q17" s="15" t="n">
        <f aca="false">IF(K17&lt;Parametros_Legales!$C$15,0,K17*Parametros_Legales!$C$8)</f>
        <v>0</v>
      </c>
      <c r="R17" s="15" t="n">
        <f aca="false">K17*Parametros_Legales!$C$10</f>
        <v>648000</v>
      </c>
      <c r="S17" s="15" t="n">
        <f aca="false">K17*Parametros_Legales!$C$12</f>
        <v>216000</v>
      </c>
      <c r="T17" s="15" t="n">
        <f aca="false">K17*Parametros_Legales!$C$16</f>
        <v>449820</v>
      </c>
      <c r="U17" s="15" t="n">
        <f aca="false">K17*Parametros_Legales!$C$18</f>
        <v>449820</v>
      </c>
      <c r="V17" s="15" t="n">
        <f aca="false">K17*Parametros_Legales!$C$19</f>
        <v>225180</v>
      </c>
      <c r="W17" s="15" t="n">
        <f aca="false">K17+L17+Q17+R17+S17+T17+U17+V17</f>
        <v>7388820</v>
      </c>
    </row>
    <row r="18" customFormat="false" ht="15" hidden="false" customHeight="false" outlineLevel="0" collapsed="false">
      <c r="A18" s="16" t="n">
        <v>17</v>
      </c>
      <c r="B18" s="16" t="s">
        <v>190</v>
      </c>
      <c r="C18" s="16" t="s">
        <v>191</v>
      </c>
      <c r="D18" s="16" t="s">
        <v>113</v>
      </c>
      <c r="E18" s="16" t="s">
        <v>98</v>
      </c>
      <c r="F18" s="16" t="s">
        <v>147</v>
      </c>
      <c r="G18" s="19" t="n">
        <v>45560</v>
      </c>
      <c r="H18" s="16" t="s">
        <v>176</v>
      </c>
      <c r="I18" s="16" t="s">
        <v>153</v>
      </c>
      <c r="J18" s="16" t="s">
        <v>150</v>
      </c>
      <c r="K18" s="20" t="n">
        <v>3680000</v>
      </c>
      <c r="L18" s="17" t="n">
        <f aca="false">IF(K18&lt;=2*Parametros_Legales!$C$5,Parametros_Legales!$C$6,0)</f>
        <v>0</v>
      </c>
      <c r="M18" s="17" t="n">
        <f aca="false">K18*Parametros_Legales!$C$7</f>
        <v>147200</v>
      </c>
      <c r="N18" s="17" t="n">
        <f aca="false">K18*(Parametros_Legales!$C$9+IF(K18&gt;=4*Parametros_Legales!$C$5,Parametros_Legales!$C$11,0))</f>
        <v>147200</v>
      </c>
      <c r="O18" s="17" t="n">
        <f aca="false">M18+N18</f>
        <v>294400</v>
      </c>
      <c r="P18" s="17" t="n">
        <f aca="false">K18+L18-O18</f>
        <v>3385600</v>
      </c>
      <c r="Q18" s="17" t="n">
        <f aca="false">IF(K18&lt;Parametros_Legales!$C$15,0,K18*Parametros_Legales!$C$8)</f>
        <v>0</v>
      </c>
      <c r="R18" s="17" t="n">
        <f aca="false">K18*Parametros_Legales!$C$10</f>
        <v>441600</v>
      </c>
      <c r="S18" s="17" t="n">
        <f aca="false">K18*Parametros_Legales!$C$12</f>
        <v>147200</v>
      </c>
      <c r="T18" s="17" t="n">
        <f aca="false">K18*Parametros_Legales!$C$16</f>
        <v>306544</v>
      </c>
      <c r="U18" s="17" t="n">
        <f aca="false">K18*Parametros_Legales!$C$18</f>
        <v>306544</v>
      </c>
      <c r="V18" s="17" t="n">
        <f aca="false">K18*Parametros_Legales!$C$19</f>
        <v>153456</v>
      </c>
      <c r="W18" s="17" t="n">
        <f aca="false">K18+L18+Q18+R18+S18+T18+U18+V18</f>
        <v>5035344</v>
      </c>
    </row>
    <row r="19" customFormat="false" ht="15" hidden="false" customHeight="false" outlineLevel="0" collapsed="false">
      <c r="A19" s="14" t="n">
        <v>18</v>
      </c>
      <c r="B19" s="14" t="s">
        <v>192</v>
      </c>
      <c r="C19" s="14" t="s">
        <v>193</v>
      </c>
      <c r="D19" s="14" t="s">
        <v>113</v>
      </c>
      <c r="E19" s="14" t="s">
        <v>98</v>
      </c>
      <c r="F19" s="14" t="s">
        <v>147</v>
      </c>
      <c r="G19" s="21" t="n">
        <v>45143</v>
      </c>
      <c r="H19" s="14" t="s">
        <v>176</v>
      </c>
      <c r="I19" s="14" t="s">
        <v>157</v>
      </c>
      <c r="J19" s="14" t="s">
        <v>154</v>
      </c>
      <c r="K19" s="22" t="n">
        <v>3630000</v>
      </c>
      <c r="L19" s="15" t="n">
        <f aca="false">IF(K19&lt;=2*Parametros_Legales!$C$5,Parametros_Legales!$C$6,0)</f>
        <v>0</v>
      </c>
      <c r="M19" s="15" t="n">
        <f aca="false">K19*Parametros_Legales!$C$7</f>
        <v>145200</v>
      </c>
      <c r="N19" s="15" t="n">
        <f aca="false">K19*(Parametros_Legales!$C$9+IF(K19&gt;=4*Parametros_Legales!$C$5,Parametros_Legales!$C$11,0))</f>
        <v>145200</v>
      </c>
      <c r="O19" s="15" t="n">
        <f aca="false">M19+N19</f>
        <v>290400</v>
      </c>
      <c r="P19" s="15" t="n">
        <f aca="false">K19+L19-O19</f>
        <v>3339600</v>
      </c>
      <c r="Q19" s="15" t="n">
        <f aca="false">IF(K19&lt;Parametros_Legales!$C$15,0,K19*Parametros_Legales!$C$8)</f>
        <v>0</v>
      </c>
      <c r="R19" s="15" t="n">
        <f aca="false">K19*Parametros_Legales!$C$10</f>
        <v>435600</v>
      </c>
      <c r="S19" s="15" t="n">
        <f aca="false">K19*Parametros_Legales!$C$12</f>
        <v>145200</v>
      </c>
      <c r="T19" s="15" t="n">
        <f aca="false">K19*Parametros_Legales!$C$16</f>
        <v>302379</v>
      </c>
      <c r="U19" s="15" t="n">
        <f aca="false">K19*Parametros_Legales!$C$18</f>
        <v>302379</v>
      </c>
      <c r="V19" s="15" t="n">
        <f aca="false">K19*Parametros_Legales!$C$19</f>
        <v>151371</v>
      </c>
      <c r="W19" s="15" t="n">
        <f aca="false">K19+L19+Q19+R19+S19+T19+U19+V19</f>
        <v>4966929</v>
      </c>
    </row>
    <row r="20" customFormat="false" ht="15" hidden="false" customHeight="false" outlineLevel="0" collapsed="false">
      <c r="A20" s="16" t="n">
        <v>19</v>
      </c>
      <c r="B20" s="16" t="s">
        <v>194</v>
      </c>
      <c r="C20" s="16" t="s">
        <v>195</v>
      </c>
      <c r="D20" s="16" t="s">
        <v>113</v>
      </c>
      <c r="E20" s="16" t="s">
        <v>98</v>
      </c>
      <c r="F20" s="16" t="s">
        <v>147</v>
      </c>
      <c r="G20" s="19" t="n">
        <v>44780</v>
      </c>
      <c r="H20" s="16" t="s">
        <v>176</v>
      </c>
      <c r="I20" s="16" t="s">
        <v>161</v>
      </c>
      <c r="J20" s="16" t="s">
        <v>158</v>
      </c>
      <c r="K20" s="20" t="n">
        <v>3740000</v>
      </c>
      <c r="L20" s="17" t="n">
        <f aca="false">IF(K20&lt;=2*Parametros_Legales!$C$5,Parametros_Legales!$C$6,0)</f>
        <v>0</v>
      </c>
      <c r="M20" s="17" t="n">
        <f aca="false">K20*Parametros_Legales!$C$7</f>
        <v>149600</v>
      </c>
      <c r="N20" s="17" t="n">
        <f aca="false">K20*(Parametros_Legales!$C$9+IF(K20&gt;=4*Parametros_Legales!$C$5,Parametros_Legales!$C$11,0))</f>
        <v>149600</v>
      </c>
      <c r="O20" s="17" t="n">
        <f aca="false">M20+N20</f>
        <v>299200</v>
      </c>
      <c r="P20" s="17" t="n">
        <f aca="false">K20+L20-O20</f>
        <v>3440800</v>
      </c>
      <c r="Q20" s="17" t="n">
        <f aca="false">IF(K20&lt;Parametros_Legales!$C$15,0,K20*Parametros_Legales!$C$8)</f>
        <v>0</v>
      </c>
      <c r="R20" s="17" t="n">
        <f aca="false">K20*Parametros_Legales!$C$10</f>
        <v>448800</v>
      </c>
      <c r="S20" s="17" t="n">
        <f aca="false">K20*Parametros_Legales!$C$12</f>
        <v>149600</v>
      </c>
      <c r="T20" s="17" t="n">
        <f aca="false">K20*Parametros_Legales!$C$16</f>
        <v>311542</v>
      </c>
      <c r="U20" s="17" t="n">
        <f aca="false">K20*Parametros_Legales!$C$18</f>
        <v>311542</v>
      </c>
      <c r="V20" s="17" t="n">
        <f aca="false">K20*Parametros_Legales!$C$19</f>
        <v>155958</v>
      </c>
      <c r="W20" s="17" t="n">
        <f aca="false">K20+L20+Q20+R20+S20+T20+U20+V20</f>
        <v>5117442</v>
      </c>
    </row>
    <row r="21" customFormat="false" ht="15" hidden="false" customHeight="false" outlineLevel="0" collapsed="false">
      <c r="A21" s="14" t="n">
        <v>20</v>
      </c>
      <c r="B21" s="14" t="s">
        <v>196</v>
      </c>
      <c r="C21" s="14" t="s">
        <v>197</v>
      </c>
      <c r="D21" s="14" t="s">
        <v>113</v>
      </c>
      <c r="E21" s="14" t="s">
        <v>98</v>
      </c>
      <c r="F21" s="14" t="s">
        <v>147</v>
      </c>
      <c r="G21" s="21" t="n">
        <v>44591</v>
      </c>
      <c r="H21" s="14" t="s">
        <v>176</v>
      </c>
      <c r="I21" s="14" t="s">
        <v>165</v>
      </c>
      <c r="J21" s="14" t="s">
        <v>162</v>
      </c>
      <c r="K21" s="22" t="n">
        <v>3860000</v>
      </c>
      <c r="L21" s="15" t="n">
        <f aca="false">IF(K21&lt;=2*Parametros_Legales!$C$5,Parametros_Legales!$C$6,0)</f>
        <v>0</v>
      </c>
      <c r="M21" s="15" t="n">
        <f aca="false">K21*Parametros_Legales!$C$7</f>
        <v>154400</v>
      </c>
      <c r="N21" s="15" t="n">
        <f aca="false">K21*(Parametros_Legales!$C$9+IF(K21&gt;=4*Parametros_Legales!$C$5,Parametros_Legales!$C$11,0))</f>
        <v>154400</v>
      </c>
      <c r="O21" s="15" t="n">
        <f aca="false">M21+N21</f>
        <v>308800</v>
      </c>
      <c r="P21" s="15" t="n">
        <f aca="false">K21+L21-O21</f>
        <v>3551200</v>
      </c>
      <c r="Q21" s="15" t="n">
        <f aca="false">IF(K21&lt;Parametros_Legales!$C$15,0,K21*Parametros_Legales!$C$8)</f>
        <v>0</v>
      </c>
      <c r="R21" s="15" t="n">
        <f aca="false">K21*Parametros_Legales!$C$10</f>
        <v>463200</v>
      </c>
      <c r="S21" s="15" t="n">
        <f aca="false">K21*Parametros_Legales!$C$12</f>
        <v>154400</v>
      </c>
      <c r="T21" s="15" t="n">
        <f aca="false">K21*Parametros_Legales!$C$16</f>
        <v>321538</v>
      </c>
      <c r="U21" s="15" t="n">
        <f aca="false">K21*Parametros_Legales!$C$18</f>
        <v>321538</v>
      </c>
      <c r="V21" s="15" t="n">
        <f aca="false">K21*Parametros_Legales!$C$19</f>
        <v>160962</v>
      </c>
      <c r="W21" s="15" t="n">
        <f aca="false">K21+L21+Q21+R21+S21+T21+U21+V21</f>
        <v>5281638</v>
      </c>
    </row>
    <row r="22" customFormat="false" ht="15" hidden="false" customHeight="false" outlineLevel="0" collapsed="false">
      <c r="A22" s="16" t="n">
        <v>21</v>
      </c>
      <c r="B22" s="16" t="s">
        <v>198</v>
      </c>
      <c r="C22" s="16" t="s">
        <v>199</v>
      </c>
      <c r="D22" s="16" t="s">
        <v>114</v>
      </c>
      <c r="E22" s="16" t="s">
        <v>96</v>
      </c>
      <c r="F22" s="16" t="s">
        <v>147</v>
      </c>
      <c r="G22" s="19" t="n">
        <v>45785</v>
      </c>
      <c r="H22" s="16" t="s">
        <v>148</v>
      </c>
      <c r="I22" s="16" t="s">
        <v>149</v>
      </c>
      <c r="J22" s="16" t="s">
        <v>150</v>
      </c>
      <c r="K22" s="20" t="n">
        <v>3040000</v>
      </c>
      <c r="L22" s="17" t="n">
        <f aca="false">IF(K22&lt;=2*Parametros_Legales!$C$5,Parametros_Legales!$C$6,0)</f>
        <v>0</v>
      </c>
      <c r="M22" s="17" t="n">
        <f aca="false">K22*Parametros_Legales!$C$7</f>
        <v>121600</v>
      </c>
      <c r="N22" s="17" t="n">
        <f aca="false">K22*(Parametros_Legales!$C$9+IF(K22&gt;=4*Parametros_Legales!$C$5,Parametros_Legales!$C$11,0))</f>
        <v>121600</v>
      </c>
      <c r="O22" s="17" t="n">
        <f aca="false">M22+N22</f>
        <v>243200</v>
      </c>
      <c r="P22" s="17" t="n">
        <f aca="false">K22+L22-O22</f>
        <v>2796800</v>
      </c>
      <c r="Q22" s="17" t="n">
        <f aca="false">IF(K22&lt;Parametros_Legales!$C$15,0,K22*Parametros_Legales!$C$8)</f>
        <v>0</v>
      </c>
      <c r="R22" s="17" t="n">
        <f aca="false">K22*Parametros_Legales!$C$10</f>
        <v>364800</v>
      </c>
      <c r="S22" s="17" t="n">
        <f aca="false">K22*Parametros_Legales!$C$12</f>
        <v>121600</v>
      </c>
      <c r="T22" s="17" t="n">
        <f aca="false">K22*Parametros_Legales!$C$16</f>
        <v>253232</v>
      </c>
      <c r="U22" s="17" t="n">
        <f aca="false">K22*Parametros_Legales!$C$18</f>
        <v>253232</v>
      </c>
      <c r="V22" s="17" t="n">
        <f aca="false">K22*Parametros_Legales!$C$19</f>
        <v>126768</v>
      </c>
      <c r="W22" s="17" t="n">
        <f aca="false">K22+L22+Q22+R22+S22+T22+U22+V22</f>
        <v>4159632</v>
      </c>
    </row>
    <row r="23" customFormat="false" ht="15" hidden="false" customHeight="false" outlineLevel="0" collapsed="false">
      <c r="A23" s="14" t="n">
        <v>22</v>
      </c>
      <c r="B23" s="14" t="s">
        <v>200</v>
      </c>
      <c r="C23" s="14" t="s">
        <v>201</v>
      </c>
      <c r="D23" s="14" t="s">
        <v>114</v>
      </c>
      <c r="E23" s="14" t="s">
        <v>96</v>
      </c>
      <c r="F23" s="14" t="s">
        <v>147</v>
      </c>
      <c r="G23" s="21" t="n">
        <v>45672</v>
      </c>
      <c r="H23" s="14" t="s">
        <v>148</v>
      </c>
      <c r="I23" s="14" t="s">
        <v>153</v>
      </c>
      <c r="J23" s="14" t="s">
        <v>154</v>
      </c>
      <c r="K23" s="22" t="n">
        <v>3140000</v>
      </c>
      <c r="L23" s="15" t="n">
        <f aca="false">IF(K23&lt;=2*Parametros_Legales!$C$5,Parametros_Legales!$C$6,0)</f>
        <v>0</v>
      </c>
      <c r="M23" s="15" t="n">
        <f aca="false">K23*Parametros_Legales!$C$7</f>
        <v>125600</v>
      </c>
      <c r="N23" s="15" t="n">
        <f aca="false">K23*(Parametros_Legales!$C$9+IF(K23&gt;=4*Parametros_Legales!$C$5,Parametros_Legales!$C$11,0))</f>
        <v>125600</v>
      </c>
      <c r="O23" s="15" t="n">
        <f aca="false">M23+N23</f>
        <v>251200</v>
      </c>
      <c r="P23" s="15" t="n">
        <f aca="false">K23+L23-O23</f>
        <v>2888800</v>
      </c>
      <c r="Q23" s="15" t="n">
        <f aca="false">IF(K23&lt;Parametros_Legales!$C$15,0,K23*Parametros_Legales!$C$8)</f>
        <v>0</v>
      </c>
      <c r="R23" s="15" t="n">
        <f aca="false">K23*Parametros_Legales!$C$10</f>
        <v>376800</v>
      </c>
      <c r="S23" s="15" t="n">
        <f aca="false">K23*Parametros_Legales!$C$12</f>
        <v>125600</v>
      </c>
      <c r="T23" s="15" t="n">
        <f aca="false">K23*Parametros_Legales!$C$16</f>
        <v>261562</v>
      </c>
      <c r="U23" s="15" t="n">
        <f aca="false">K23*Parametros_Legales!$C$18</f>
        <v>261562</v>
      </c>
      <c r="V23" s="15" t="n">
        <f aca="false">K23*Parametros_Legales!$C$19</f>
        <v>130938</v>
      </c>
      <c r="W23" s="15" t="n">
        <f aca="false">K23+L23+Q23+R23+S23+T23+U23+V23</f>
        <v>4296462</v>
      </c>
    </row>
    <row r="24" customFormat="false" ht="15" hidden="false" customHeight="false" outlineLevel="0" collapsed="false">
      <c r="A24" s="16" t="n">
        <v>23</v>
      </c>
      <c r="B24" s="16" t="s">
        <v>202</v>
      </c>
      <c r="C24" s="16" t="s">
        <v>203</v>
      </c>
      <c r="D24" s="16" t="s">
        <v>114</v>
      </c>
      <c r="E24" s="16" t="s">
        <v>96</v>
      </c>
      <c r="F24" s="16" t="s">
        <v>147</v>
      </c>
      <c r="G24" s="19" t="n">
        <v>45120</v>
      </c>
      <c r="H24" s="16" t="s">
        <v>148</v>
      </c>
      <c r="I24" s="16" t="s">
        <v>157</v>
      </c>
      <c r="J24" s="16" t="s">
        <v>158</v>
      </c>
      <c r="K24" s="20" t="n">
        <v>3100000</v>
      </c>
      <c r="L24" s="17" t="n">
        <f aca="false">IF(K24&lt;=2*Parametros_Legales!$C$5,Parametros_Legales!$C$6,0)</f>
        <v>0</v>
      </c>
      <c r="M24" s="17" t="n">
        <f aca="false">K24*Parametros_Legales!$C$7</f>
        <v>124000</v>
      </c>
      <c r="N24" s="17" t="n">
        <f aca="false">K24*(Parametros_Legales!$C$9+IF(K24&gt;=4*Parametros_Legales!$C$5,Parametros_Legales!$C$11,0))</f>
        <v>124000</v>
      </c>
      <c r="O24" s="17" t="n">
        <f aca="false">M24+N24</f>
        <v>248000</v>
      </c>
      <c r="P24" s="17" t="n">
        <f aca="false">K24+L24-O24</f>
        <v>2852000</v>
      </c>
      <c r="Q24" s="17" t="n">
        <f aca="false">IF(K24&lt;Parametros_Legales!$C$15,0,K24*Parametros_Legales!$C$8)</f>
        <v>0</v>
      </c>
      <c r="R24" s="17" t="n">
        <f aca="false">K24*Parametros_Legales!$C$10</f>
        <v>372000</v>
      </c>
      <c r="S24" s="17" t="n">
        <f aca="false">K24*Parametros_Legales!$C$12</f>
        <v>124000</v>
      </c>
      <c r="T24" s="17" t="n">
        <f aca="false">K24*Parametros_Legales!$C$16</f>
        <v>258230</v>
      </c>
      <c r="U24" s="17" t="n">
        <f aca="false">K24*Parametros_Legales!$C$18</f>
        <v>258230</v>
      </c>
      <c r="V24" s="17" t="n">
        <f aca="false">K24*Parametros_Legales!$C$19</f>
        <v>129270</v>
      </c>
      <c r="W24" s="17" t="n">
        <f aca="false">K24+L24+Q24+R24+S24+T24+U24+V24</f>
        <v>4241730</v>
      </c>
    </row>
    <row r="25" customFormat="false" ht="15" hidden="false" customHeight="false" outlineLevel="0" collapsed="false">
      <c r="A25" s="14" t="n">
        <v>24</v>
      </c>
      <c r="B25" s="14" t="s">
        <v>204</v>
      </c>
      <c r="C25" s="14" t="s">
        <v>205</v>
      </c>
      <c r="D25" s="14" t="s">
        <v>114</v>
      </c>
      <c r="E25" s="14" t="s">
        <v>96</v>
      </c>
      <c r="F25" s="14" t="s">
        <v>147</v>
      </c>
      <c r="G25" s="21" t="n">
        <v>44551</v>
      </c>
      <c r="H25" s="14" t="s">
        <v>148</v>
      </c>
      <c r="I25" s="14" t="s">
        <v>161</v>
      </c>
      <c r="J25" s="14" t="s">
        <v>162</v>
      </c>
      <c r="K25" s="22" t="n">
        <v>3430000</v>
      </c>
      <c r="L25" s="15" t="n">
        <f aca="false">IF(K25&lt;=2*Parametros_Legales!$C$5,Parametros_Legales!$C$6,0)</f>
        <v>0</v>
      </c>
      <c r="M25" s="15" t="n">
        <f aca="false">K25*Parametros_Legales!$C$7</f>
        <v>137200</v>
      </c>
      <c r="N25" s="15" t="n">
        <f aca="false">K25*(Parametros_Legales!$C$9+IF(K25&gt;=4*Parametros_Legales!$C$5,Parametros_Legales!$C$11,0))</f>
        <v>137200</v>
      </c>
      <c r="O25" s="15" t="n">
        <f aca="false">M25+N25</f>
        <v>274400</v>
      </c>
      <c r="P25" s="15" t="n">
        <f aca="false">K25+L25-O25</f>
        <v>3155600</v>
      </c>
      <c r="Q25" s="15" t="n">
        <f aca="false">IF(K25&lt;Parametros_Legales!$C$15,0,K25*Parametros_Legales!$C$8)</f>
        <v>0</v>
      </c>
      <c r="R25" s="15" t="n">
        <f aca="false">K25*Parametros_Legales!$C$10</f>
        <v>411600</v>
      </c>
      <c r="S25" s="15" t="n">
        <f aca="false">K25*Parametros_Legales!$C$12</f>
        <v>137200</v>
      </c>
      <c r="T25" s="15" t="n">
        <f aca="false">K25*Parametros_Legales!$C$16</f>
        <v>285719</v>
      </c>
      <c r="U25" s="15" t="n">
        <f aca="false">K25*Parametros_Legales!$C$18</f>
        <v>285719</v>
      </c>
      <c r="V25" s="15" t="n">
        <f aca="false">K25*Parametros_Legales!$C$19</f>
        <v>143031</v>
      </c>
      <c r="W25" s="15" t="n">
        <f aca="false">K25+L25+Q25+R25+S25+T25+U25+V25</f>
        <v>4693269</v>
      </c>
    </row>
    <row r="26" customFormat="false" ht="15" hidden="false" customHeight="false" outlineLevel="0" collapsed="false">
      <c r="A26" s="16" t="n">
        <v>25</v>
      </c>
      <c r="B26" s="16" t="s">
        <v>206</v>
      </c>
      <c r="C26" s="16" t="s">
        <v>207</v>
      </c>
      <c r="D26" s="16" t="s">
        <v>114</v>
      </c>
      <c r="E26" s="16" t="s">
        <v>96</v>
      </c>
      <c r="F26" s="16" t="s">
        <v>147</v>
      </c>
      <c r="G26" s="19" t="n">
        <v>44932</v>
      </c>
      <c r="H26" s="16" t="s">
        <v>148</v>
      </c>
      <c r="I26" s="16" t="s">
        <v>165</v>
      </c>
      <c r="J26" s="16" t="s">
        <v>150</v>
      </c>
      <c r="K26" s="20" t="n">
        <v>3100000</v>
      </c>
      <c r="L26" s="17" t="n">
        <f aca="false">IF(K26&lt;=2*Parametros_Legales!$C$5,Parametros_Legales!$C$6,0)</f>
        <v>0</v>
      </c>
      <c r="M26" s="17" t="n">
        <f aca="false">K26*Parametros_Legales!$C$7</f>
        <v>124000</v>
      </c>
      <c r="N26" s="17" t="n">
        <f aca="false">K26*(Parametros_Legales!$C$9+IF(K26&gt;=4*Parametros_Legales!$C$5,Parametros_Legales!$C$11,0))</f>
        <v>124000</v>
      </c>
      <c r="O26" s="17" t="n">
        <f aca="false">M26+N26</f>
        <v>248000</v>
      </c>
      <c r="P26" s="17" t="n">
        <f aca="false">K26+L26-O26</f>
        <v>2852000</v>
      </c>
      <c r="Q26" s="17" t="n">
        <f aca="false">IF(K26&lt;Parametros_Legales!$C$15,0,K26*Parametros_Legales!$C$8)</f>
        <v>0</v>
      </c>
      <c r="R26" s="17" t="n">
        <f aca="false">K26*Parametros_Legales!$C$10</f>
        <v>372000</v>
      </c>
      <c r="S26" s="17" t="n">
        <f aca="false">K26*Parametros_Legales!$C$12</f>
        <v>124000</v>
      </c>
      <c r="T26" s="17" t="n">
        <f aca="false">K26*Parametros_Legales!$C$16</f>
        <v>258230</v>
      </c>
      <c r="U26" s="17" t="n">
        <f aca="false">K26*Parametros_Legales!$C$18</f>
        <v>258230</v>
      </c>
      <c r="V26" s="17" t="n">
        <f aca="false">K26*Parametros_Legales!$C$19</f>
        <v>129270</v>
      </c>
      <c r="W26" s="17" t="n">
        <f aca="false">K26+L26+Q26+R26+S26+T26+U26+V26</f>
        <v>4241730</v>
      </c>
    </row>
    <row r="27" customFormat="false" ht="15" hidden="false" customHeight="false" outlineLevel="0" collapsed="false">
      <c r="A27" s="14" t="n">
        <v>26</v>
      </c>
      <c r="B27" s="14" t="s">
        <v>208</v>
      </c>
      <c r="C27" s="14" t="s">
        <v>209</v>
      </c>
      <c r="D27" s="14" t="s">
        <v>115</v>
      </c>
      <c r="E27" s="14" t="s">
        <v>94</v>
      </c>
      <c r="F27" s="14" t="s">
        <v>147</v>
      </c>
      <c r="G27" s="21" t="n">
        <v>45429</v>
      </c>
      <c r="H27" s="14" t="s">
        <v>148</v>
      </c>
      <c r="I27" s="14" t="s">
        <v>149</v>
      </c>
      <c r="J27" s="14" t="s">
        <v>154</v>
      </c>
      <c r="K27" s="22" t="n">
        <v>2750000</v>
      </c>
      <c r="L27" s="15" t="n">
        <f aca="false">IF(K27&lt;=2*Parametros_Legales!$C$5,Parametros_Legales!$C$6,0)</f>
        <v>200000</v>
      </c>
      <c r="M27" s="15" t="n">
        <f aca="false">K27*Parametros_Legales!$C$7</f>
        <v>110000</v>
      </c>
      <c r="N27" s="15" t="n">
        <f aca="false">K27*(Parametros_Legales!$C$9+IF(K27&gt;=4*Parametros_Legales!$C$5,Parametros_Legales!$C$11,0))</f>
        <v>110000</v>
      </c>
      <c r="O27" s="15" t="n">
        <f aca="false">M27+N27</f>
        <v>220000</v>
      </c>
      <c r="P27" s="15" t="n">
        <f aca="false">K27+L27-O27</f>
        <v>2730000</v>
      </c>
      <c r="Q27" s="15" t="n">
        <f aca="false">IF(K27&lt;Parametros_Legales!$C$15,0,K27*Parametros_Legales!$C$8)</f>
        <v>0</v>
      </c>
      <c r="R27" s="15" t="n">
        <f aca="false">K27*Parametros_Legales!$C$10</f>
        <v>330000</v>
      </c>
      <c r="S27" s="15" t="n">
        <f aca="false">K27*Parametros_Legales!$C$12</f>
        <v>110000</v>
      </c>
      <c r="T27" s="15" t="n">
        <f aca="false">K27*Parametros_Legales!$C$16</f>
        <v>229075</v>
      </c>
      <c r="U27" s="15" t="n">
        <f aca="false">K27*Parametros_Legales!$C$18</f>
        <v>229075</v>
      </c>
      <c r="V27" s="15" t="n">
        <f aca="false">K27*Parametros_Legales!$C$19</f>
        <v>114675</v>
      </c>
      <c r="W27" s="15" t="n">
        <f aca="false">K27+L27+Q27+R27+S27+T27+U27+V27</f>
        <v>3962825</v>
      </c>
    </row>
    <row r="28" customFormat="false" ht="15" hidden="false" customHeight="false" outlineLevel="0" collapsed="false">
      <c r="A28" s="16" t="n">
        <v>27</v>
      </c>
      <c r="B28" s="16" t="s">
        <v>210</v>
      </c>
      <c r="C28" s="16" t="s">
        <v>211</v>
      </c>
      <c r="D28" s="16" t="s">
        <v>115</v>
      </c>
      <c r="E28" s="16" t="s">
        <v>94</v>
      </c>
      <c r="F28" s="16" t="s">
        <v>147</v>
      </c>
      <c r="G28" s="19" t="n">
        <v>45409</v>
      </c>
      <c r="H28" s="16" t="s">
        <v>148</v>
      </c>
      <c r="I28" s="16" t="s">
        <v>153</v>
      </c>
      <c r="J28" s="16" t="s">
        <v>158</v>
      </c>
      <c r="K28" s="20" t="n">
        <v>2430000</v>
      </c>
      <c r="L28" s="17" t="n">
        <f aca="false">IF(K28&lt;=2*Parametros_Legales!$C$5,Parametros_Legales!$C$6,0)</f>
        <v>200000</v>
      </c>
      <c r="M28" s="17" t="n">
        <f aca="false">K28*Parametros_Legales!$C$7</f>
        <v>97200</v>
      </c>
      <c r="N28" s="17" t="n">
        <f aca="false">K28*(Parametros_Legales!$C$9+IF(K28&gt;=4*Parametros_Legales!$C$5,Parametros_Legales!$C$11,0))</f>
        <v>97200</v>
      </c>
      <c r="O28" s="17" t="n">
        <f aca="false">M28+N28</f>
        <v>194400</v>
      </c>
      <c r="P28" s="17" t="n">
        <f aca="false">K28+L28-O28</f>
        <v>2435600</v>
      </c>
      <c r="Q28" s="17" t="n">
        <f aca="false">IF(K28&lt;Parametros_Legales!$C$15,0,K28*Parametros_Legales!$C$8)</f>
        <v>0</v>
      </c>
      <c r="R28" s="17" t="n">
        <f aca="false">K28*Parametros_Legales!$C$10</f>
        <v>291600</v>
      </c>
      <c r="S28" s="17" t="n">
        <f aca="false">K28*Parametros_Legales!$C$12</f>
        <v>97200</v>
      </c>
      <c r="T28" s="17" t="n">
        <f aca="false">K28*Parametros_Legales!$C$16</f>
        <v>202419</v>
      </c>
      <c r="U28" s="17" t="n">
        <f aca="false">K28*Parametros_Legales!$C$18</f>
        <v>202419</v>
      </c>
      <c r="V28" s="17" t="n">
        <f aca="false">K28*Parametros_Legales!$C$19</f>
        <v>101331</v>
      </c>
      <c r="W28" s="17" t="n">
        <f aca="false">K28+L28+Q28+R28+S28+T28+U28+V28</f>
        <v>3524969</v>
      </c>
    </row>
    <row r="29" customFormat="false" ht="15" hidden="false" customHeight="false" outlineLevel="0" collapsed="false">
      <c r="A29" s="14" t="n">
        <v>28</v>
      </c>
      <c r="B29" s="14" t="s">
        <v>212</v>
      </c>
      <c r="C29" s="14" t="s">
        <v>213</v>
      </c>
      <c r="D29" s="14" t="s">
        <v>115</v>
      </c>
      <c r="E29" s="14" t="s">
        <v>94</v>
      </c>
      <c r="F29" s="14" t="s">
        <v>147</v>
      </c>
      <c r="G29" s="21" t="n">
        <v>44717</v>
      </c>
      <c r="H29" s="14" t="s">
        <v>148</v>
      </c>
      <c r="I29" s="14" t="s">
        <v>157</v>
      </c>
      <c r="J29" s="14" t="s">
        <v>162</v>
      </c>
      <c r="K29" s="22" t="n">
        <v>2530000</v>
      </c>
      <c r="L29" s="15" t="n">
        <f aca="false">IF(K29&lt;=2*Parametros_Legales!$C$5,Parametros_Legales!$C$6,0)</f>
        <v>200000</v>
      </c>
      <c r="M29" s="15" t="n">
        <f aca="false">K29*Parametros_Legales!$C$7</f>
        <v>101200</v>
      </c>
      <c r="N29" s="15" t="n">
        <f aca="false">K29*(Parametros_Legales!$C$9+IF(K29&gt;=4*Parametros_Legales!$C$5,Parametros_Legales!$C$11,0))</f>
        <v>101200</v>
      </c>
      <c r="O29" s="15" t="n">
        <f aca="false">M29+N29</f>
        <v>202400</v>
      </c>
      <c r="P29" s="15" t="n">
        <f aca="false">K29+L29-O29</f>
        <v>2527600</v>
      </c>
      <c r="Q29" s="15" t="n">
        <f aca="false">IF(K29&lt;Parametros_Legales!$C$15,0,K29*Parametros_Legales!$C$8)</f>
        <v>0</v>
      </c>
      <c r="R29" s="15" t="n">
        <f aca="false">K29*Parametros_Legales!$C$10</f>
        <v>303600</v>
      </c>
      <c r="S29" s="15" t="n">
        <f aca="false">K29*Parametros_Legales!$C$12</f>
        <v>101200</v>
      </c>
      <c r="T29" s="15" t="n">
        <f aca="false">K29*Parametros_Legales!$C$16</f>
        <v>210749</v>
      </c>
      <c r="U29" s="15" t="n">
        <f aca="false">K29*Parametros_Legales!$C$18</f>
        <v>210749</v>
      </c>
      <c r="V29" s="15" t="n">
        <f aca="false">K29*Parametros_Legales!$C$19</f>
        <v>105501</v>
      </c>
      <c r="W29" s="15" t="n">
        <f aca="false">K29+L29+Q29+R29+S29+T29+U29+V29</f>
        <v>3661799</v>
      </c>
    </row>
    <row r="30" customFormat="false" ht="15" hidden="false" customHeight="false" outlineLevel="0" collapsed="false">
      <c r="A30" s="16" t="n">
        <v>29</v>
      </c>
      <c r="B30" s="16" t="s">
        <v>214</v>
      </c>
      <c r="C30" s="16" t="s">
        <v>215</v>
      </c>
      <c r="D30" s="16" t="s">
        <v>115</v>
      </c>
      <c r="E30" s="16" t="s">
        <v>94</v>
      </c>
      <c r="F30" s="16" t="s">
        <v>147</v>
      </c>
      <c r="G30" s="19" t="n">
        <v>44067</v>
      </c>
      <c r="H30" s="16" t="s">
        <v>148</v>
      </c>
      <c r="I30" s="16" t="s">
        <v>161</v>
      </c>
      <c r="J30" s="16" t="s">
        <v>150</v>
      </c>
      <c r="K30" s="20" t="n">
        <v>2650000</v>
      </c>
      <c r="L30" s="17" t="n">
        <f aca="false">IF(K30&lt;=2*Parametros_Legales!$C$5,Parametros_Legales!$C$6,0)</f>
        <v>200000</v>
      </c>
      <c r="M30" s="17" t="n">
        <f aca="false">K30*Parametros_Legales!$C$7</f>
        <v>106000</v>
      </c>
      <c r="N30" s="17" t="n">
        <f aca="false">K30*(Parametros_Legales!$C$9+IF(K30&gt;=4*Parametros_Legales!$C$5,Parametros_Legales!$C$11,0))</f>
        <v>106000</v>
      </c>
      <c r="O30" s="17" t="n">
        <f aca="false">M30+N30</f>
        <v>212000</v>
      </c>
      <c r="P30" s="17" t="n">
        <f aca="false">K30+L30-O30</f>
        <v>2638000</v>
      </c>
      <c r="Q30" s="17" t="n">
        <f aca="false">IF(K30&lt;Parametros_Legales!$C$15,0,K30*Parametros_Legales!$C$8)</f>
        <v>0</v>
      </c>
      <c r="R30" s="17" t="n">
        <f aca="false">K30*Parametros_Legales!$C$10</f>
        <v>318000</v>
      </c>
      <c r="S30" s="17" t="n">
        <f aca="false">K30*Parametros_Legales!$C$12</f>
        <v>106000</v>
      </c>
      <c r="T30" s="17" t="n">
        <f aca="false">K30*Parametros_Legales!$C$16</f>
        <v>220745</v>
      </c>
      <c r="U30" s="17" t="n">
        <f aca="false">K30*Parametros_Legales!$C$18</f>
        <v>220745</v>
      </c>
      <c r="V30" s="17" t="n">
        <f aca="false">K30*Parametros_Legales!$C$19</f>
        <v>110505</v>
      </c>
      <c r="W30" s="17" t="n">
        <f aca="false">K30+L30+Q30+R30+S30+T30+U30+V30</f>
        <v>3825995</v>
      </c>
    </row>
    <row r="31" customFormat="false" ht="15" hidden="false" customHeight="false" outlineLevel="0" collapsed="false">
      <c r="A31" s="14" t="n">
        <v>30</v>
      </c>
      <c r="B31" s="14" t="s">
        <v>216</v>
      </c>
      <c r="C31" s="14" t="s">
        <v>217</v>
      </c>
      <c r="D31" s="14" t="s">
        <v>115</v>
      </c>
      <c r="E31" s="14" t="s">
        <v>94</v>
      </c>
      <c r="F31" s="14" t="s">
        <v>147</v>
      </c>
      <c r="G31" s="21" t="n">
        <v>44353</v>
      </c>
      <c r="H31" s="14" t="s">
        <v>148</v>
      </c>
      <c r="I31" s="14" t="s">
        <v>165</v>
      </c>
      <c r="J31" s="14" t="s">
        <v>154</v>
      </c>
      <c r="K31" s="22" t="n">
        <v>2550000</v>
      </c>
      <c r="L31" s="15" t="n">
        <f aca="false">IF(K31&lt;=2*Parametros_Legales!$C$5,Parametros_Legales!$C$6,0)</f>
        <v>200000</v>
      </c>
      <c r="M31" s="15" t="n">
        <f aca="false">K31*Parametros_Legales!$C$7</f>
        <v>102000</v>
      </c>
      <c r="N31" s="15" t="n">
        <f aca="false">K31*(Parametros_Legales!$C$9+IF(K31&gt;=4*Parametros_Legales!$C$5,Parametros_Legales!$C$11,0))</f>
        <v>102000</v>
      </c>
      <c r="O31" s="15" t="n">
        <f aca="false">M31+N31</f>
        <v>204000</v>
      </c>
      <c r="P31" s="15" t="n">
        <f aca="false">K31+L31-O31</f>
        <v>2546000</v>
      </c>
      <c r="Q31" s="15" t="n">
        <f aca="false">IF(K31&lt;Parametros_Legales!$C$15,0,K31*Parametros_Legales!$C$8)</f>
        <v>0</v>
      </c>
      <c r="R31" s="15" t="n">
        <f aca="false">K31*Parametros_Legales!$C$10</f>
        <v>306000</v>
      </c>
      <c r="S31" s="15" t="n">
        <f aca="false">K31*Parametros_Legales!$C$12</f>
        <v>102000</v>
      </c>
      <c r="T31" s="15" t="n">
        <f aca="false">K31*Parametros_Legales!$C$16</f>
        <v>212415</v>
      </c>
      <c r="U31" s="15" t="n">
        <f aca="false">K31*Parametros_Legales!$C$18</f>
        <v>212415</v>
      </c>
      <c r="V31" s="15" t="n">
        <f aca="false">K31*Parametros_Legales!$C$19</f>
        <v>106335</v>
      </c>
      <c r="W31" s="15" t="n">
        <f aca="false">K31+L31+Q31+R31+S31+T31+U31+V31</f>
        <v>3689165</v>
      </c>
    </row>
    <row r="32" customFormat="false" ht="15" hidden="false" customHeight="false" outlineLevel="0" collapsed="false">
      <c r="A32" s="16" t="n">
        <v>31</v>
      </c>
      <c r="B32" s="16" t="s">
        <v>218</v>
      </c>
      <c r="C32" s="16" t="s">
        <v>219</v>
      </c>
      <c r="D32" s="16" t="s">
        <v>115</v>
      </c>
      <c r="E32" s="16" t="s">
        <v>94</v>
      </c>
      <c r="F32" s="16" t="s">
        <v>147</v>
      </c>
      <c r="G32" s="19" t="n">
        <v>45061</v>
      </c>
      <c r="H32" s="16" t="s">
        <v>148</v>
      </c>
      <c r="I32" s="16" t="s">
        <v>149</v>
      </c>
      <c r="J32" s="16" t="s">
        <v>158</v>
      </c>
      <c r="K32" s="20" t="n">
        <v>2770000</v>
      </c>
      <c r="L32" s="17" t="n">
        <f aca="false">IF(K32&lt;=2*Parametros_Legales!$C$5,Parametros_Legales!$C$6,0)</f>
        <v>200000</v>
      </c>
      <c r="M32" s="17" t="n">
        <f aca="false">K32*Parametros_Legales!$C$7</f>
        <v>110800</v>
      </c>
      <c r="N32" s="17" t="n">
        <f aca="false">K32*(Parametros_Legales!$C$9+IF(K32&gt;=4*Parametros_Legales!$C$5,Parametros_Legales!$C$11,0))</f>
        <v>110800</v>
      </c>
      <c r="O32" s="17" t="n">
        <f aca="false">M32+N32</f>
        <v>221600</v>
      </c>
      <c r="P32" s="17" t="n">
        <f aca="false">K32+L32-O32</f>
        <v>2748400</v>
      </c>
      <c r="Q32" s="17" t="n">
        <f aca="false">IF(K32&lt;Parametros_Legales!$C$15,0,K32*Parametros_Legales!$C$8)</f>
        <v>0</v>
      </c>
      <c r="R32" s="17" t="n">
        <f aca="false">K32*Parametros_Legales!$C$10</f>
        <v>332400</v>
      </c>
      <c r="S32" s="17" t="n">
        <f aca="false">K32*Parametros_Legales!$C$12</f>
        <v>110800</v>
      </c>
      <c r="T32" s="17" t="n">
        <f aca="false">K32*Parametros_Legales!$C$16</f>
        <v>230741</v>
      </c>
      <c r="U32" s="17" t="n">
        <f aca="false">K32*Parametros_Legales!$C$18</f>
        <v>230741</v>
      </c>
      <c r="V32" s="17" t="n">
        <f aca="false">K32*Parametros_Legales!$C$19</f>
        <v>115509</v>
      </c>
      <c r="W32" s="17" t="n">
        <f aca="false">K32+L32+Q32+R32+S32+T32+U32+V32</f>
        <v>3990191</v>
      </c>
    </row>
    <row r="33" customFormat="false" ht="15" hidden="false" customHeight="false" outlineLevel="0" collapsed="false">
      <c r="A33" s="14" t="n">
        <v>32</v>
      </c>
      <c r="B33" s="14" t="s">
        <v>220</v>
      </c>
      <c r="C33" s="14" t="s">
        <v>221</v>
      </c>
      <c r="D33" s="14" t="s">
        <v>116</v>
      </c>
      <c r="E33" s="14" t="s">
        <v>96</v>
      </c>
      <c r="F33" s="14" t="s">
        <v>147</v>
      </c>
      <c r="G33" s="21" t="n">
        <v>42783</v>
      </c>
      <c r="H33" s="14" t="s">
        <v>148</v>
      </c>
      <c r="I33" s="14" t="s">
        <v>153</v>
      </c>
      <c r="J33" s="14" t="s">
        <v>162</v>
      </c>
      <c r="K33" s="22" t="n">
        <v>1520000</v>
      </c>
      <c r="L33" s="15" t="n">
        <f aca="false">IF(K33&lt;=2*Parametros_Legales!$C$5,Parametros_Legales!$C$6,0)</f>
        <v>200000</v>
      </c>
      <c r="M33" s="15" t="n">
        <f aca="false">K33*Parametros_Legales!$C$7</f>
        <v>60800</v>
      </c>
      <c r="N33" s="15" t="n">
        <f aca="false">K33*(Parametros_Legales!$C$9+IF(K33&gt;=4*Parametros_Legales!$C$5,Parametros_Legales!$C$11,0))</f>
        <v>60800</v>
      </c>
      <c r="O33" s="15" t="n">
        <f aca="false">M33+N33</f>
        <v>121600</v>
      </c>
      <c r="P33" s="15" t="n">
        <f aca="false">K33+L33-O33</f>
        <v>1598400</v>
      </c>
      <c r="Q33" s="15" t="n">
        <f aca="false">IF(K33&lt;Parametros_Legales!$C$15,0,K33*Parametros_Legales!$C$8)</f>
        <v>0</v>
      </c>
      <c r="R33" s="15" t="n">
        <f aca="false">K33*Parametros_Legales!$C$10</f>
        <v>182400</v>
      </c>
      <c r="S33" s="15" t="n">
        <f aca="false">K33*Parametros_Legales!$C$12</f>
        <v>60800</v>
      </c>
      <c r="T33" s="15" t="n">
        <f aca="false">K33*Parametros_Legales!$C$16</f>
        <v>126616</v>
      </c>
      <c r="U33" s="15" t="n">
        <f aca="false">K33*Parametros_Legales!$C$18</f>
        <v>126616</v>
      </c>
      <c r="V33" s="15" t="n">
        <f aca="false">K33*Parametros_Legales!$C$19</f>
        <v>63384</v>
      </c>
      <c r="W33" s="15" t="n">
        <f aca="false">K33+L33+Q33+R33+S33+T33+U33+V33</f>
        <v>2279816</v>
      </c>
    </row>
    <row r="34" customFormat="false" ht="15" hidden="false" customHeight="false" outlineLevel="0" collapsed="false">
      <c r="A34" s="16" t="n">
        <v>33</v>
      </c>
      <c r="B34" s="16" t="s">
        <v>222</v>
      </c>
      <c r="C34" s="16" t="s">
        <v>223</v>
      </c>
      <c r="D34" s="16" t="s">
        <v>116</v>
      </c>
      <c r="E34" s="16" t="s">
        <v>96</v>
      </c>
      <c r="F34" s="16" t="s">
        <v>147</v>
      </c>
      <c r="G34" s="19" t="n">
        <v>43436</v>
      </c>
      <c r="H34" s="16" t="s">
        <v>148</v>
      </c>
      <c r="I34" s="16" t="s">
        <v>157</v>
      </c>
      <c r="J34" s="16" t="s">
        <v>150</v>
      </c>
      <c r="K34" s="20" t="n">
        <v>1630000</v>
      </c>
      <c r="L34" s="17" t="n">
        <f aca="false">IF(K34&lt;=2*Parametros_Legales!$C$5,Parametros_Legales!$C$6,0)</f>
        <v>200000</v>
      </c>
      <c r="M34" s="17" t="n">
        <f aca="false">K34*Parametros_Legales!$C$7</f>
        <v>65200</v>
      </c>
      <c r="N34" s="17" t="n">
        <f aca="false">K34*(Parametros_Legales!$C$9+IF(K34&gt;=4*Parametros_Legales!$C$5,Parametros_Legales!$C$11,0))</f>
        <v>65200</v>
      </c>
      <c r="O34" s="17" t="n">
        <f aca="false">M34+N34</f>
        <v>130400</v>
      </c>
      <c r="P34" s="17" t="n">
        <f aca="false">K34+L34-O34</f>
        <v>1699600</v>
      </c>
      <c r="Q34" s="17" t="n">
        <f aca="false">IF(K34&lt;Parametros_Legales!$C$15,0,K34*Parametros_Legales!$C$8)</f>
        <v>0</v>
      </c>
      <c r="R34" s="17" t="n">
        <f aca="false">K34*Parametros_Legales!$C$10</f>
        <v>195600</v>
      </c>
      <c r="S34" s="17" t="n">
        <f aca="false">K34*Parametros_Legales!$C$12</f>
        <v>65200</v>
      </c>
      <c r="T34" s="17" t="n">
        <f aca="false">K34*Parametros_Legales!$C$16</f>
        <v>135779</v>
      </c>
      <c r="U34" s="17" t="n">
        <f aca="false">K34*Parametros_Legales!$C$18</f>
        <v>135779</v>
      </c>
      <c r="V34" s="17" t="n">
        <f aca="false">K34*Parametros_Legales!$C$19</f>
        <v>67971</v>
      </c>
      <c r="W34" s="17" t="n">
        <f aca="false">K34+L34+Q34+R34+S34+T34+U34+V34</f>
        <v>2430329</v>
      </c>
    </row>
    <row r="35" customFormat="false" ht="15" hidden="false" customHeight="false" outlineLevel="0" collapsed="false">
      <c r="A35" s="14" t="n">
        <v>34</v>
      </c>
      <c r="B35" s="14" t="s">
        <v>224</v>
      </c>
      <c r="C35" s="14" t="s">
        <v>225</v>
      </c>
      <c r="D35" s="14" t="s">
        <v>116</v>
      </c>
      <c r="E35" s="14" t="s">
        <v>96</v>
      </c>
      <c r="F35" s="14" t="s">
        <v>147</v>
      </c>
      <c r="G35" s="21" t="n">
        <v>44849</v>
      </c>
      <c r="H35" s="14" t="s">
        <v>148</v>
      </c>
      <c r="I35" s="14" t="s">
        <v>161</v>
      </c>
      <c r="J35" s="14" t="s">
        <v>154</v>
      </c>
      <c r="K35" s="22" t="n">
        <v>1660000</v>
      </c>
      <c r="L35" s="15" t="n">
        <f aca="false">IF(K35&lt;=2*Parametros_Legales!$C$5,Parametros_Legales!$C$6,0)</f>
        <v>200000</v>
      </c>
      <c r="M35" s="15" t="n">
        <f aca="false">K35*Parametros_Legales!$C$7</f>
        <v>66400</v>
      </c>
      <c r="N35" s="15" t="n">
        <f aca="false">K35*(Parametros_Legales!$C$9+IF(K35&gt;=4*Parametros_Legales!$C$5,Parametros_Legales!$C$11,0))</f>
        <v>66400</v>
      </c>
      <c r="O35" s="15" t="n">
        <f aca="false">M35+N35</f>
        <v>132800</v>
      </c>
      <c r="P35" s="15" t="n">
        <f aca="false">K35+L35-O35</f>
        <v>1727200</v>
      </c>
      <c r="Q35" s="15" t="n">
        <f aca="false">IF(K35&lt;Parametros_Legales!$C$15,0,K35*Parametros_Legales!$C$8)</f>
        <v>0</v>
      </c>
      <c r="R35" s="15" t="n">
        <f aca="false">K35*Parametros_Legales!$C$10</f>
        <v>199200</v>
      </c>
      <c r="S35" s="15" t="n">
        <f aca="false">K35*Parametros_Legales!$C$12</f>
        <v>66400</v>
      </c>
      <c r="T35" s="15" t="n">
        <f aca="false">K35*Parametros_Legales!$C$16</f>
        <v>138278</v>
      </c>
      <c r="U35" s="15" t="n">
        <f aca="false">K35*Parametros_Legales!$C$18</f>
        <v>138278</v>
      </c>
      <c r="V35" s="15" t="n">
        <f aca="false">K35*Parametros_Legales!$C$19</f>
        <v>69222</v>
      </c>
      <c r="W35" s="15" t="n">
        <f aca="false">K35+L35+Q35+R35+S35+T35+U35+V35</f>
        <v>2471378</v>
      </c>
    </row>
    <row r="36" customFormat="false" ht="15" hidden="false" customHeight="false" outlineLevel="0" collapsed="false">
      <c r="A36" s="16" t="n">
        <v>35</v>
      </c>
      <c r="B36" s="16" t="s">
        <v>226</v>
      </c>
      <c r="C36" s="16" t="s">
        <v>227</v>
      </c>
      <c r="D36" s="16" t="s">
        <v>116</v>
      </c>
      <c r="E36" s="16" t="s">
        <v>96</v>
      </c>
      <c r="F36" s="16" t="s">
        <v>147</v>
      </c>
      <c r="G36" s="19" t="n">
        <v>42803</v>
      </c>
      <c r="H36" s="16" t="s">
        <v>148</v>
      </c>
      <c r="I36" s="16" t="s">
        <v>165</v>
      </c>
      <c r="J36" s="16" t="s">
        <v>158</v>
      </c>
      <c r="K36" s="20" t="n">
        <v>1670000</v>
      </c>
      <c r="L36" s="17" t="n">
        <f aca="false">IF(K36&lt;=2*Parametros_Legales!$C$5,Parametros_Legales!$C$6,0)</f>
        <v>200000</v>
      </c>
      <c r="M36" s="17" t="n">
        <f aca="false">K36*Parametros_Legales!$C$7</f>
        <v>66800</v>
      </c>
      <c r="N36" s="17" t="n">
        <f aca="false">K36*(Parametros_Legales!$C$9+IF(K36&gt;=4*Parametros_Legales!$C$5,Parametros_Legales!$C$11,0))</f>
        <v>66800</v>
      </c>
      <c r="O36" s="17" t="n">
        <f aca="false">M36+N36</f>
        <v>133600</v>
      </c>
      <c r="P36" s="17" t="n">
        <f aca="false">K36+L36-O36</f>
        <v>1736400</v>
      </c>
      <c r="Q36" s="17" t="n">
        <f aca="false">IF(K36&lt;Parametros_Legales!$C$15,0,K36*Parametros_Legales!$C$8)</f>
        <v>0</v>
      </c>
      <c r="R36" s="17" t="n">
        <f aca="false">K36*Parametros_Legales!$C$10</f>
        <v>200400</v>
      </c>
      <c r="S36" s="17" t="n">
        <f aca="false">K36*Parametros_Legales!$C$12</f>
        <v>66800</v>
      </c>
      <c r="T36" s="17" t="n">
        <f aca="false">K36*Parametros_Legales!$C$16</f>
        <v>139111</v>
      </c>
      <c r="U36" s="17" t="n">
        <f aca="false">K36*Parametros_Legales!$C$18</f>
        <v>139111</v>
      </c>
      <c r="V36" s="17" t="n">
        <f aca="false">K36*Parametros_Legales!$C$19</f>
        <v>69639</v>
      </c>
      <c r="W36" s="17" t="n">
        <f aca="false">K36+L36+Q36+R36+S36+T36+U36+V36</f>
        <v>2485061</v>
      </c>
    </row>
    <row r="37" customFormat="false" ht="15" hidden="false" customHeight="false" outlineLevel="0" collapsed="false">
      <c r="A37" s="14" t="n">
        <v>36</v>
      </c>
      <c r="B37" s="14" t="s">
        <v>228</v>
      </c>
      <c r="C37" s="14" t="s">
        <v>229</v>
      </c>
      <c r="D37" s="14" t="s">
        <v>116</v>
      </c>
      <c r="E37" s="14" t="s">
        <v>96</v>
      </c>
      <c r="F37" s="14" t="s">
        <v>147</v>
      </c>
      <c r="G37" s="21" t="n">
        <v>44020</v>
      </c>
      <c r="H37" s="14" t="s">
        <v>148</v>
      </c>
      <c r="I37" s="14" t="s">
        <v>149</v>
      </c>
      <c r="J37" s="14" t="s">
        <v>162</v>
      </c>
      <c r="K37" s="22" t="n">
        <v>1550000</v>
      </c>
      <c r="L37" s="15" t="n">
        <f aca="false">IF(K37&lt;=2*Parametros_Legales!$C$5,Parametros_Legales!$C$6,0)</f>
        <v>200000</v>
      </c>
      <c r="M37" s="15" t="n">
        <f aca="false">K37*Parametros_Legales!$C$7</f>
        <v>62000</v>
      </c>
      <c r="N37" s="15" t="n">
        <f aca="false">K37*(Parametros_Legales!$C$9+IF(K37&gt;=4*Parametros_Legales!$C$5,Parametros_Legales!$C$11,0))</f>
        <v>62000</v>
      </c>
      <c r="O37" s="15" t="n">
        <f aca="false">M37+N37</f>
        <v>124000</v>
      </c>
      <c r="P37" s="15" t="n">
        <f aca="false">K37+L37-O37</f>
        <v>1626000</v>
      </c>
      <c r="Q37" s="15" t="n">
        <f aca="false">IF(K37&lt;Parametros_Legales!$C$15,0,K37*Parametros_Legales!$C$8)</f>
        <v>0</v>
      </c>
      <c r="R37" s="15" t="n">
        <f aca="false">K37*Parametros_Legales!$C$10</f>
        <v>186000</v>
      </c>
      <c r="S37" s="15" t="n">
        <f aca="false">K37*Parametros_Legales!$C$12</f>
        <v>62000</v>
      </c>
      <c r="T37" s="15" t="n">
        <f aca="false">K37*Parametros_Legales!$C$16</f>
        <v>129115</v>
      </c>
      <c r="U37" s="15" t="n">
        <f aca="false">K37*Parametros_Legales!$C$18</f>
        <v>129115</v>
      </c>
      <c r="V37" s="15" t="n">
        <f aca="false">K37*Parametros_Legales!$C$19</f>
        <v>64635</v>
      </c>
      <c r="W37" s="15" t="n">
        <f aca="false">K37+L37+Q37+R37+S37+T37+U37+V37</f>
        <v>2320865</v>
      </c>
    </row>
    <row r="38" customFormat="false" ht="15" hidden="false" customHeight="false" outlineLevel="0" collapsed="false">
      <c r="A38" s="16" t="n">
        <v>37</v>
      </c>
      <c r="B38" s="16" t="s">
        <v>230</v>
      </c>
      <c r="C38" s="16" t="s">
        <v>231</v>
      </c>
      <c r="D38" s="16" t="s">
        <v>116</v>
      </c>
      <c r="E38" s="16" t="s">
        <v>96</v>
      </c>
      <c r="F38" s="16" t="s">
        <v>147</v>
      </c>
      <c r="G38" s="19" t="n">
        <v>45443</v>
      </c>
      <c r="H38" s="16" t="s">
        <v>148</v>
      </c>
      <c r="I38" s="16" t="s">
        <v>153</v>
      </c>
      <c r="J38" s="16" t="s">
        <v>150</v>
      </c>
      <c r="K38" s="20" t="n">
        <v>1660000</v>
      </c>
      <c r="L38" s="17" t="n">
        <f aca="false">IF(K38&lt;=2*Parametros_Legales!$C$5,Parametros_Legales!$C$6,0)</f>
        <v>200000</v>
      </c>
      <c r="M38" s="17" t="n">
        <f aca="false">K38*Parametros_Legales!$C$7</f>
        <v>66400</v>
      </c>
      <c r="N38" s="17" t="n">
        <f aca="false">K38*(Parametros_Legales!$C$9+IF(K38&gt;=4*Parametros_Legales!$C$5,Parametros_Legales!$C$11,0))</f>
        <v>66400</v>
      </c>
      <c r="O38" s="17" t="n">
        <f aca="false">M38+N38</f>
        <v>132800</v>
      </c>
      <c r="P38" s="17" t="n">
        <f aca="false">K38+L38-O38</f>
        <v>1727200</v>
      </c>
      <c r="Q38" s="17" t="n">
        <f aca="false">IF(K38&lt;Parametros_Legales!$C$15,0,K38*Parametros_Legales!$C$8)</f>
        <v>0</v>
      </c>
      <c r="R38" s="17" t="n">
        <f aca="false">K38*Parametros_Legales!$C$10</f>
        <v>199200</v>
      </c>
      <c r="S38" s="17" t="n">
        <f aca="false">K38*Parametros_Legales!$C$12</f>
        <v>66400</v>
      </c>
      <c r="T38" s="17" t="n">
        <f aca="false">K38*Parametros_Legales!$C$16</f>
        <v>138278</v>
      </c>
      <c r="U38" s="17" t="n">
        <f aca="false">K38*Parametros_Legales!$C$18</f>
        <v>138278</v>
      </c>
      <c r="V38" s="17" t="n">
        <f aca="false">K38*Parametros_Legales!$C$19</f>
        <v>69222</v>
      </c>
      <c r="W38" s="17" t="n">
        <f aca="false">K38+L38+Q38+R38+S38+T38+U38+V38</f>
        <v>2471378</v>
      </c>
    </row>
    <row r="39" customFormat="false" ht="15" hidden="false" customHeight="false" outlineLevel="0" collapsed="false">
      <c r="A39" s="14" t="n">
        <v>38</v>
      </c>
      <c r="B39" s="14" t="s">
        <v>232</v>
      </c>
      <c r="C39" s="14" t="s">
        <v>233</v>
      </c>
      <c r="D39" s="14" t="s">
        <v>116</v>
      </c>
      <c r="E39" s="14" t="s">
        <v>96</v>
      </c>
      <c r="F39" s="14" t="s">
        <v>147</v>
      </c>
      <c r="G39" s="21" t="n">
        <v>45064</v>
      </c>
      <c r="H39" s="14" t="s">
        <v>148</v>
      </c>
      <c r="I39" s="14" t="s">
        <v>157</v>
      </c>
      <c r="J39" s="14" t="s">
        <v>154</v>
      </c>
      <c r="K39" s="22" t="n">
        <v>1690000</v>
      </c>
      <c r="L39" s="15" t="n">
        <f aca="false">IF(K39&lt;=2*Parametros_Legales!$C$5,Parametros_Legales!$C$6,0)</f>
        <v>200000</v>
      </c>
      <c r="M39" s="15" t="n">
        <f aca="false">K39*Parametros_Legales!$C$7</f>
        <v>67600</v>
      </c>
      <c r="N39" s="15" t="n">
        <f aca="false">K39*(Parametros_Legales!$C$9+IF(K39&gt;=4*Parametros_Legales!$C$5,Parametros_Legales!$C$11,0))</f>
        <v>67600</v>
      </c>
      <c r="O39" s="15" t="n">
        <f aca="false">M39+N39</f>
        <v>135200</v>
      </c>
      <c r="P39" s="15" t="n">
        <f aca="false">K39+L39-O39</f>
        <v>1754800</v>
      </c>
      <c r="Q39" s="15" t="n">
        <f aca="false">IF(K39&lt;Parametros_Legales!$C$15,0,K39*Parametros_Legales!$C$8)</f>
        <v>0</v>
      </c>
      <c r="R39" s="15" t="n">
        <f aca="false">K39*Parametros_Legales!$C$10</f>
        <v>202800</v>
      </c>
      <c r="S39" s="15" t="n">
        <f aca="false">K39*Parametros_Legales!$C$12</f>
        <v>67600</v>
      </c>
      <c r="T39" s="15" t="n">
        <f aca="false">K39*Parametros_Legales!$C$16</f>
        <v>140777</v>
      </c>
      <c r="U39" s="15" t="n">
        <f aca="false">K39*Parametros_Legales!$C$18</f>
        <v>140777</v>
      </c>
      <c r="V39" s="15" t="n">
        <f aca="false">K39*Parametros_Legales!$C$19</f>
        <v>70473</v>
      </c>
      <c r="W39" s="15" t="n">
        <f aca="false">K39+L39+Q39+R39+S39+T39+U39+V39</f>
        <v>2512427</v>
      </c>
    </row>
    <row r="40" customFormat="false" ht="15" hidden="false" customHeight="false" outlineLevel="0" collapsed="false">
      <c r="A40" s="16" t="n">
        <v>39</v>
      </c>
      <c r="B40" s="16" t="s">
        <v>234</v>
      </c>
      <c r="C40" s="16" t="s">
        <v>235</v>
      </c>
      <c r="D40" s="16" t="s">
        <v>116</v>
      </c>
      <c r="E40" s="16" t="s">
        <v>96</v>
      </c>
      <c r="F40" s="16" t="s">
        <v>147</v>
      </c>
      <c r="G40" s="19" t="n">
        <v>45876</v>
      </c>
      <c r="H40" s="16" t="s">
        <v>148</v>
      </c>
      <c r="I40" s="16" t="s">
        <v>161</v>
      </c>
      <c r="J40" s="16" t="s">
        <v>158</v>
      </c>
      <c r="K40" s="20" t="n">
        <v>1660000</v>
      </c>
      <c r="L40" s="17" t="n">
        <f aca="false">IF(K40&lt;=2*Parametros_Legales!$C$5,Parametros_Legales!$C$6,0)</f>
        <v>200000</v>
      </c>
      <c r="M40" s="17" t="n">
        <f aca="false">K40*Parametros_Legales!$C$7</f>
        <v>66400</v>
      </c>
      <c r="N40" s="17" t="n">
        <f aca="false">K40*(Parametros_Legales!$C$9+IF(K40&gt;=4*Parametros_Legales!$C$5,Parametros_Legales!$C$11,0))</f>
        <v>66400</v>
      </c>
      <c r="O40" s="17" t="n">
        <f aca="false">M40+N40</f>
        <v>132800</v>
      </c>
      <c r="P40" s="17" t="n">
        <f aca="false">K40+L40-O40</f>
        <v>1727200</v>
      </c>
      <c r="Q40" s="17" t="n">
        <f aca="false">IF(K40&lt;Parametros_Legales!$C$15,0,K40*Parametros_Legales!$C$8)</f>
        <v>0</v>
      </c>
      <c r="R40" s="17" t="n">
        <f aca="false">K40*Parametros_Legales!$C$10</f>
        <v>199200</v>
      </c>
      <c r="S40" s="17" t="n">
        <f aca="false">K40*Parametros_Legales!$C$12</f>
        <v>66400</v>
      </c>
      <c r="T40" s="17" t="n">
        <f aca="false">K40*Parametros_Legales!$C$16</f>
        <v>138278</v>
      </c>
      <c r="U40" s="17" t="n">
        <f aca="false">K40*Parametros_Legales!$C$18</f>
        <v>138278</v>
      </c>
      <c r="V40" s="17" t="n">
        <f aca="false">K40*Parametros_Legales!$C$19</f>
        <v>69222</v>
      </c>
      <c r="W40" s="17" t="n">
        <f aca="false">K40+L40+Q40+R40+S40+T40+U40+V40</f>
        <v>2471378</v>
      </c>
    </row>
    <row r="41" customFormat="false" ht="15" hidden="false" customHeight="false" outlineLevel="0" collapsed="false">
      <c r="A41" s="14" t="n">
        <v>40</v>
      </c>
      <c r="B41" s="14" t="s">
        <v>236</v>
      </c>
      <c r="C41" s="14" t="s">
        <v>237</v>
      </c>
      <c r="D41" s="14" t="s">
        <v>116</v>
      </c>
      <c r="E41" s="14" t="s">
        <v>96</v>
      </c>
      <c r="F41" s="14" t="s">
        <v>147</v>
      </c>
      <c r="G41" s="21" t="n">
        <v>44619</v>
      </c>
      <c r="H41" s="14" t="s">
        <v>148</v>
      </c>
      <c r="I41" s="14" t="s">
        <v>165</v>
      </c>
      <c r="J41" s="14" t="s">
        <v>162</v>
      </c>
      <c r="K41" s="22" t="n">
        <v>1610000</v>
      </c>
      <c r="L41" s="15" t="n">
        <f aca="false">IF(K41&lt;=2*Parametros_Legales!$C$5,Parametros_Legales!$C$6,0)</f>
        <v>200000</v>
      </c>
      <c r="M41" s="15" t="n">
        <f aca="false">K41*Parametros_Legales!$C$7</f>
        <v>64400</v>
      </c>
      <c r="N41" s="15" t="n">
        <f aca="false">K41*(Parametros_Legales!$C$9+IF(K41&gt;=4*Parametros_Legales!$C$5,Parametros_Legales!$C$11,0))</f>
        <v>64400</v>
      </c>
      <c r="O41" s="15" t="n">
        <f aca="false">M41+N41</f>
        <v>128800</v>
      </c>
      <c r="P41" s="15" t="n">
        <f aca="false">K41+L41-O41</f>
        <v>1681200</v>
      </c>
      <c r="Q41" s="15" t="n">
        <f aca="false">IF(K41&lt;Parametros_Legales!$C$15,0,K41*Parametros_Legales!$C$8)</f>
        <v>0</v>
      </c>
      <c r="R41" s="15" t="n">
        <f aca="false">K41*Parametros_Legales!$C$10</f>
        <v>193200</v>
      </c>
      <c r="S41" s="15" t="n">
        <f aca="false">K41*Parametros_Legales!$C$12</f>
        <v>64400</v>
      </c>
      <c r="T41" s="15" t="n">
        <f aca="false">K41*Parametros_Legales!$C$16</f>
        <v>134113</v>
      </c>
      <c r="U41" s="15" t="n">
        <f aca="false">K41*Parametros_Legales!$C$18</f>
        <v>134113</v>
      </c>
      <c r="V41" s="15" t="n">
        <f aca="false">K41*Parametros_Legales!$C$19</f>
        <v>67137</v>
      </c>
      <c r="W41" s="15" t="n">
        <f aca="false">K41+L41+Q41+R41+S41+T41+U41+V41</f>
        <v>2402963</v>
      </c>
    </row>
    <row r="42" customFormat="false" ht="15" hidden="false" customHeight="false" outlineLevel="0" collapsed="false">
      <c r="A42" s="16" t="n">
        <v>41</v>
      </c>
      <c r="B42" s="16" t="s">
        <v>238</v>
      </c>
      <c r="C42" s="16" t="s">
        <v>239</v>
      </c>
      <c r="D42" s="16" t="s">
        <v>116</v>
      </c>
      <c r="E42" s="16" t="s">
        <v>96</v>
      </c>
      <c r="F42" s="16" t="s">
        <v>147</v>
      </c>
      <c r="G42" s="19" t="n">
        <v>42881</v>
      </c>
      <c r="H42" s="16" t="s">
        <v>148</v>
      </c>
      <c r="I42" s="16" t="s">
        <v>149</v>
      </c>
      <c r="J42" s="16" t="s">
        <v>150</v>
      </c>
      <c r="K42" s="20" t="n">
        <v>1520000</v>
      </c>
      <c r="L42" s="17" t="n">
        <f aca="false">IF(K42&lt;=2*Parametros_Legales!$C$5,Parametros_Legales!$C$6,0)</f>
        <v>200000</v>
      </c>
      <c r="M42" s="17" t="n">
        <f aca="false">K42*Parametros_Legales!$C$7</f>
        <v>60800</v>
      </c>
      <c r="N42" s="17" t="n">
        <f aca="false">K42*(Parametros_Legales!$C$9+IF(K42&gt;=4*Parametros_Legales!$C$5,Parametros_Legales!$C$11,0))</f>
        <v>60800</v>
      </c>
      <c r="O42" s="17" t="n">
        <f aca="false">M42+N42</f>
        <v>121600</v>
      </c>
      <c r="P42" s="17" t="n">
        <f aca="false">K42+L42-O42</f>
        <v>1598400</v>
      </c>
      <c r="Q42" s="17" t="n">
        <f aca="false">IF(K42&lt;Parametros_Legales!$C$15,0,K42*Parametros_Legales!$C$8)</f>
        <v>0</v>
      </c>
      <c r="R42" s="17" t="n">
        <f aca="false">K42*Parametros_Legales!$C$10</f>
        <v>182400</v>
      </c>
      <c r="S42" s="17" t="n">
        <f aca="false">K42*Parametros_Legales!$C$12</f>
        <v>60800</v>
      </c>
      <c r="T42" s="17" t="n">
        <f aca="false">K42*Parametros_Legales!$C$16</f>
        <v>126616</v>
      </c>
      <c r="U42" s="17" t="n">
        <f aca="false">K42*Parametros_Legales!$C$18</f>
        <v>126616</v>
      </c>
      <c r="V42" s="17" t="n">
        <f aca="false">K42*Parametros_Legales!$C$19</f>
        <v>63384</v>
      </c>
      <c r="W42" s="17" t="n">
        <f aca="false">K42+L42+Q42+R42+S42+T42+U42+V42</f>
        <v>2279816</v>
      </c>
    </row>
    <row r="43" customFormat="false" ht="15" hidden="false" customHeight="false" outlineLevel="0" collapsed="false">
      <c r="A43" s="14" t="n">
        <v>42</v>
      </c>
      <c r="B43" s="14" t="s">
        <v>240</v>
      </c>
      <c r="C43" s="14" t="s">
        <v>241</v>
      </c>
      <c r="D43" s="14" t="s">
        <v>116</v>
      </c>
      <c r="E43" s="14" t="s">
        <v>96</v>
      </c>
      <c r="F43" s="14" t="s">
        <v>147</v>
      </c>
      <c r="G43" s="21" t="n">
        <v>45353</v>
      </c>
      <c r="H43" s="14" t="s">
        <v>148</v>
      </c>
      <c r="I43" s="14" t="s">
        <v>153</v>
      </c>
      <c r="J43" s="14" t="s">
        <v>154</v>
      </c>
      <c r="K43" s="22" t="n">
        <v>1540000</v>
      </c>
      <c r="L43" s="15" t="n">
        <f aca="false">IF(K43&lt;=2*Parametros_Legales!$C$5,Parametros_Legales!$C$6,0)</f>
        <v>200000</v>
      </c>
      <c r="M43" s="15" t="n">
        <f aca="false">K43*Parametros_Legales!$C$7</f>
        <v>61600</v>
      </c>
      <c r="N43" s="15" t="n">
        <f aca="false">K43*(Parametros_Legales!$C$9+IF(K43&gt;=4*Parametros_Legales!$C$5,Parametros_Legales!$C$11,0))</f>
        <v>61600</v>
      </c>
      <c r="O43" s="15" t="n">
        <f aca="false">M43+N43</f>
        <v>123200</v>
      </c>
      <c r="P43" s="15" t="n">
        <f aca="false">K43+L43-O43</f>
        <v>1616800</v>
      </c>
      <c r="Q43" s="15" t="n">
        <f aca="false">IF(K43&lt;Parametros_Legales!$C$15,0,K43*Parametros_Legales!$C$8)</f>
        <v>0</v>
      </c>
      <c r="R43" s="15" t="n">
        <f aca="false">K43*Parametros_Legales!$C$10</f>
        <v>184800</v>
      </c>
      <c r="S43" s="15" t="n">
        <f aca="false">K43*Parametros_Legales!$C$12</f>
        <v>61600</v>
      </c>
      <c r="T43" s="15" t="n">
        <f aca="false">K43*Parametros_Legales!$C$16</f>
        <v>128282</v>
      </c>
      <c r="U43" s="15" t="n">
        <f aca="false">K43*Parametros_Legales!$C$18</f>
        <v>128282</v>
      </c>
      <c r="V43" s="15" t="n">
        <f aca="false">K43*Parametros_Legales!$C$19</f>
        <v>64218</v>
      </c>
      <c r="W43" s="15" t="n">
        <f aca="false">K43+L43+Q43+R43+S43+T43+U43+V43</f>
        <v>2307182</v>
      </c>
    </row>
    <row r="44" customFormat="false" ht="15" hidden="false" customHeight="false" outlineLevel="0" collapsed="false">
      <c r="A44" s="16" t="n">
        <v>43</v>
      </c>
      <c r="B44" s="16" t="s">
        <v>242</v>
      </c>
      <c r="C44" s="16" t="s">
        <v>243</v>
      </c>
      <c r="D44" s="16" t="s">
        <v>116</v>
      </c>
      <c r="E44" s="16" t="s">
        <v>96</v>
      </c>
      <c r="F44" s="16" t="s">
        <v>147</v>
      </c>
      <c r="G44" s="19" t="n">
        <v>43394</v>
      </c>
      <c r="H44" s="16" t="s">
        <v>148</v>
      </c>
      <c r="I44" s="16" t="s">
        <v>157</v>
      </c>
      <c r="J44" s="16" t="s">
        <v>158</v>
      </c>
      <c r="K44" s="20" t="n">
        <v>1660000</v>
      </c>
      <c r="L44" s="17" t="n">
        <f aca="false">IF(K44&lt;=2*Parametros_Legales!$C$5,Parametros_Legales!$C$6,0)</f>
        <v>200000</v>
      </c>
      <c r="M44" s="17" t="n">
        <f aca="false">K44*Parametros_Legales!$C$7</f>
        <v>66400</v>
      </c>
      <c r="N44" s="17" t="n">
        <f aca="false">K44*(Parametros_Legales!$C$9+IF(K44&gt;=4*Parametros_Legales!$C$5,Parametros_Legales!$C$11,0))</f>
        <v>66400</v>
      </c>
      <c r="O44" s="17" t="n">
        <f aca="false">M44+N44</f>
        <v>132800</v>
      </c>
      <c r="P44" s="17" t="n">
        <f aca="false">K44+L44-O44</f>
        <v>1727200</v>
      </c>
      <c r="Q44" s="17" t="n">
        <f aca="false">IF(K44&lt;Parametros_Legales!$C$15,0,K44*Parametros_Legales!$C$8)</f>
        <v>0</v>
      </c>
      <c r="R44" s="17" t="n">
        <f aca="false">K44*Parametros_Legales!$C$10</f>
        <v>199200</v>
      </c>
      <c r="S44" s="17" t="n">
        <f aca="false">K44*Parametros_Legales!$C$12</f>
        <v>66400</v>
      </c>
      <c r="T44" s="17" t="n">
        <f aca="false">K44*Parametros_Legales!$C$16</f>
        <v>138278</v>
      </c>
      <c r="U44" s="17" t="n">
        <f aca="false">K44*Parametros_Legales!$C$18</f>
        <v>138278</v>
      </c>
      <c r="V44" s="17" t="n">
        <f aca="false">K44*Parametros_Legales!$C$19</f>
        <v>69222</v>
      </c>
      <c r="W44" s="17" t="n">
        <f aca="false">K44+L44+Q44+R44+S44+T44+U44+V44</f>
        <v>2471378</v>
      </c>
    </row>
    <row r="45" customFormat="false" ht="15" hidden="false" customHeight="false" outlineLevel="0" collapsed="false">
      <c r="A45" s="14" t="n">
        <v>44</v>
      </c>
      <c r="B45" s="14" t="s">
        <v>244</v>
      </c>
      <c r="C45" s="14" t="s">
        <v>245</v>
      </c>
      <c r="D45" s="14" t="s">
        <v>116</v>
      </c>
      <c r="E45" s="14" t="s">
        <v>96</v>
      </c>
      <c r="F45" s="14" t="s">
        <v>147</v>
      </c>
      <c r="G45" s="21" t="n">
        <v>42958</v>
      </c>
      <c r="H45" s="14" t="s">
        <v>148</v>
      </c>
      <c r="I45" s="14" t="s">
        <v>161</v>
      </c>
      <c r="J45" s="14" t="s">
        <v>162</v>
      </c>
      <c r="K45" s="22" t="n">
        <v>1560000</v>
      </c>
      <c r="L45" s="15" t="n">
        <f aca="false">IF(K45&lt;=2*Parametros_Legales!$C$5,Parametros_Legales!$C$6,0)</f>
        <v>200000</v>
      </c>
      <c r="M45" s="15" t="n">
        <f aca="false">K45*Parametros_Legales!$C$7</f>
        <v>62400</v>
      </c>
      <c r="N45" s="15" t="n">
        <f aca="false">K45*(Parametros_Legales!$C$9+IF(K45&gt;=4*Parametros_Legales!$C$5,Parametros_Legales!$C$11,0))</f>
        <v>62400</v>
      </c>
      <c r="O45" s="15" t="n">
        <f aca="false">M45+N45</f>
        <v>124800</v>
      </c>
      <c r="P45" s="15" t="n">
        <f aca="false">K45+L45-O45</f>
        <v>1635200</v>
      </c>
      <c r="Q45" s="15" t="n">
        <f aca="false">IF(K45&lt;Parametros_Legales!$C$15,0,K45*Parametros_Legales!$C$8)</f>
        <v>0</v>
      </c>
      <c r="R45" s="15" t="n">
        <f aca="false">K45*Parametros_Legales!$C$10</f>
        <v>187200</v>
      </c>
      <c r="S45" s="15" t="n">
        <f aca="false">K45*Parametros_Legales!$C$12</f>
        <v>62400</v>
      </c>
      <c r="T45" s="15" t="n">
        <f aca="false">K45*Parametros_Legales!$C$16</f>
        <v>129948</v>
      </c>
      <c r="U45" s="15" t="n">
        <f aca="false">K45*Parametros_Legales!$C$18</f>
        <v>129948</v>
      </c>
      <c r="V45" s="15" t="n">
        <f aca="false">K45*Parametros_Legales!$C$19</f>
        <v>65052</v>
      </c>
      <c r="W45" s="15" t="n">
        <f aca="false">K45+L45+Q45+R45+S45+T45+U45+V45</f>
        <v>2334548</v>
      </c>
    </row>
    <row r="46" customFormat="false" ht="15" hidden="false" customHeight="false" outlineLevel="0" collapsed="false">
      <c r="A46" s="16" t="n">
        <v>45</v>
      </c>
      <c r="B46" s="16" t="s">
        <v>246</v>
      </c>
      <c r="C46" s="16" t="s">
        <v>247</v>
      </c>
      <c r="D46" s="16" t="s">
        <v>116</v>
      </c>
      <c r="E46" s="16" t="s">
        <v>96</v>
      </c>
      <c r="F46" s="16" t="s">
        <v>147</v>
      </c>
      <c r="G46" s="19" t="n">
        <v>43759</v>
      </c>
      <c r="H46" s="16" t="s">
        <v>148</v>
      </c>
      <c r="I46" s="16" t="s">
        <v>165</v>
      </c>
      <c r="J46" s="16" t="s">
        <v>150</v>
      </c>
      <c r="K46" s="20" t="n">
        <v>1640000</v>
      </c>
      <c r="L46" s="17" t="n">
        <f aca="false">IF(K46&lt;=2*Parametros_Legales!$C$5,Parametros_Legales!$C$6,0)</f>
        <v>200000</v>
      </c>
      <c r="M46" s="17" t="n">
        <f aca="false">K46*Parametros_Legales!$C$7</f>
        <v>65600</v>
      </c>
      <c r="N46" s="17" t="n">
        <f aca="false">K46*(Parametros_Legales!$C$9+IF(K46&gt;=4*Parametros_Legales!$C$5,Parametros_Legales!$C$11,0))</f>
        <v>65600</v>
      </c>
      <c r="O46" s="17" t="n">
        <f aca="false">M46+N46</f>
        <v>131200</v>
      </c>
      <c r="P46" s="17" t="n">
        <f aca="false">K46+L46-O46</f>
        <v>1708800</v>
      </c>
      <c r="Q46" s="17" t="n">
        <f aca="false">IF(K46&lt;Parametros_Legales!$C$15,0,K46*Parametros_Legales!$C$8)</f>
        <v>0</v>
      </c>
      <c r="R46" s="17" t="n">
        <f aca="false">K46*Parametros_Legales!$C$10</f>
        <v>196800</v>
      </c>
      <c r="S46" s="17" t="n">
        <f aca="false">K46*Parametros_Legales!$C$12</f>
        <v>65600</v>
      </c>
      <c r="T46" s="17" t="n">
        <f aca="false">K46*Parametros_Legales!$C$16</f>
        <v>136612</v>
      </c>
      <c r="U46" s="17" t="n">
        <f aca="false">K46*Parametros_Legales!$C$18</f>
        <v>136612</v>
      </c>
      <c r="V46" s="17" t="n">
        <f aca="false">K46*Parametros_Legales!$C$19</f>
        <v>68388</v>
      </c>
      <c r="W46" s="17" t="n">
        <f aca="false">K46+L46+Q46+R46+S46+T46+U46+V46</f>
        <v>2444012</v>
      </c>
    </row>
    <row r="47" customFormat="false" ht="15" hidden="false" customHeight="false" outlineLevel="0" collapsed="false">
      <c r="A47" s="14" t="n">
        <v>46</v>
      </c>
      <c r="B47" s="14" t="s">
        <v>248</v>
      </c>
      <c r="C47" s="14" t="s">
        <v>249</v>
      </c>
      <c r="D47" s="14" t="s">
        <v>116</v>
      </c>
      <c r="E47" s="14" t="s">
        <v>96</v>
      </c>
      <c r="F47" s="14" t="s">
        <v>147</v>
      </c>
      <c r="G47" s="21" t="n">
        <v>45792</v>
      </c>
      <c r="H47" s="14" t="s">
        <v>148</v>
      </c>
      <c r="I47" s="14" t="s">
        <v>149</v>
      </c>
      <c r="J47" s="14" t="s">
        <v>154</v>
      </c>
      <c r="K47" s="22" t="n">
        <v>1600000</v>
      </c>
      <c r="L47" s="15" t="n">
        <f aca="false">IF(K47&lt;=2*Parametros_Legales!$C$5,Parametros_Legales!$C$6,0)</f>
        <v>200000</v>
      </c>
      <c r="M47" s="15" t="n">
        <f aca="false">K47*Parametros_Legales!$C$7</f>
        <v>64000</v>
      </c>
      <c r="N47" s="15" t="n">
        <f aca="false">K47*(Parametros_Legales!$C$9+IF(K47&gt;=4*Parametros_Legales!$C$5,Parametros_Legales!$C$11,0))</f>
        <v>64000</v>
      </c>
      <c r="O47" s="15" t="n">
        <f aca="false">M47+N47</f>
        <v>128000</v>
      </c>
      <c r="P47" s="15" t="n">
        <f aca="false">K47+L47-O47</f>
        <v>1672000</v>
      </c>
      <c r="Q47" s="15" t="n">
        <f aca="false">IF(K47&lt;Parametros_Legales!$C$15,0,K47*Parametros_Legales!$C$8)</f>
        <v>0</v>
      </c>
      <c r="R47" s="15" t="n">
        <f aca="false">K47*Parametros_Legales!$C$10</f>
        <v>192000</v>
      </c>
      <c r="S47" s="15" t="n">
        <f aca="false">K47*Parametros_Legales!$C$12</f>
        <v>64000</v>
      </c>
      <c r="T47" s="15" t="n">
        <f aca="false">K47*Parametros_Legales!$C$16</f>
        <v>133280</v>
      </c>
      <c r="U47" s="15" t="n">
        <f aca="false">K47*Parametros_Legales!$C$18</f>
        <v>133280</v>
      </c>
      <c r="V47" s="15" t="n">
        <f aca="false">K47*Parametros_Legales!$C$19</f>
        <v>66720</v>
      </c>
      <c r="W47" s="15" t="n">
        <f aca="false">K47+L47+Q47+R47+S47+T47+U47+V47</f>
        <v>2389280</v>
      </c>
    </row>
    <row r="48" customFormat="false" ht="15" hidden="false" customHeight="false" outlineLevel="0" collapsed="false">
      <c r="A48" s="16" t="n">
        <v>47</v>
      </c>
      <c r="B48" s="16" t="s">
        <v>250</v>
      </c>
      <c r="C48" s="16" t="s">
        <v>251</v>
      </c>
      <c r="D48" s="16" t="s">
        <v>116</v>
      </c>
      <c r="E48" s="16" t="s">
        <v>96</v>
      </c>
      <c r="F48" s="16" t="s">
        <v>147</v>
      </c>
      <c r="G48" s="19" t="n">
        <v>42979</v>
      </c>
      <c r="H48" s="16" t="s">
        <v>148</v>
      </c>
      <c r="I48" s="16" t="s">
        <v>153</v>
      </c>
      <c r="J48" s="16" t="s">
        <v>158</v>
      </c>
      <c r="K48" s="20" t="n">
        <v>1520000</v>
      </c>
      <c r="L48" s="17" t="n">
        <f aca="false">IF(K48&lt;=2*Parametros_Legales!$C$5,Parametros_Legales!$C$6,0)</f>
        <v>200000</v>
      </c>
      <c r="M48" s="17" t="n">
        <f aca="false">K48*Parametros_Legales!$C$7</f>
        <v>60800</v>
      </c>
      <c r="N48" s="17" t="n">
        <f aca="false">K48*(Parametros_Legales!$C$9+IF(K48&gt;=4*Parametros_Legales!$C$5,Parametros_Legales!$C$11,0))</f>
        <v>60800</v>
      </c>
      <c r="O48" s="17" t="n">
        <f aca="false">M48+N48</f>
        <v>121600</v>
      </c>
      <c r="P48" s="17" t="n">
        <f aca="false">K48+L48-O48</f>
        <v>1598400</v>
      </c>
      <c r="Q48" s="17" t="n">
        <f aca="false">IF(K48&lt;Parametros_Legales!$C$15,0,K48*Parametros_Legales!$C$8)</f>
        <v>0</v>
      </c>
      <c r="R48" s="17" t="n">
        <f aca="false">K48*Parametros_Legales!$C$10</f>
        <v>182400</v>
      </c>
      <c r="S48" s="17" t="n">
        <f aca="false">K48*Parametros_Legales!$C$12</f>
        <v>60800</v>
      </c>
      <c r="T48" s="17" t="n">
        <f aca="false">K48*Parametros_Legales!$C$16</f>
        <v>126616</v>
      </c>
      <c r="U48" s="17" t="n">
        <f aca="false">K48*Parametros_Legales!$C$18</f>
        <v>126616</v>
      </c>
      <c r="V48" s="17" t="n">
        <f aca="false">K48*Parametros_Legales!$C$19</f>
        <v>63384</v>
      </c>
      <c r="W48" s="17" t="n">
        <f aca="false">K48+L48+Q48+R48+S48+T48+U48+V48</f>
        <v>2279816</v>
      </c>
    </row>
    <row r="49" customFormat="false" ht="15" hidden="false" customHeight="false" outlineLevel="0" collapsed="false">
      <c r="A49" s="14" t="n">
        <v>48</v>
      </c>
      <c r="B49" s="14" t="s">
        <v>252</v>
      </c>
      <c r="C49" s="14" t="s">
        <v>253</v>
      </c>
      <c r="D49" s="14" t="s">
        <v>116</v>
      </c>
      <c r="E49" s="14" t="s">
        <v>96</v>
      </c>
      <c r="F49" s="14" t="s">
        <v>147</v>
      </c>
      <c r="G49" s="21" t="n">
        <v>45588</v>
      </c>
      <c r="H49" s="14" t="s">
        <v>148</v>
      </c>
      <c r="I49" s="14" t="s">
        <v>157</v>
      </c>
      <c r="J49" s="14" t="s">
        <v>162</v>
      </c>
      <c r="K49" s="22" t="n">
        <v>1600000</v>
      </c>
      <c r="L49" s="15" t="n">
        <f aca="false">IF(K49&lt;=2*Parametros_Legales!$C$5,Parametros_Legales!$C$6,0)</f>
        <v>200000</v>
      </c>
      <c r="M49" s="15" t="n">
        <f aca="false">K49*Parametros_Legales!$C$7</f>
        <v>64000</v>
      </c>
      <c r="N49" s="15" t="n">
        <f aca="false">K49*(Parametros_Legales!$C$9+IF(K49&gt;=4*Parametros_Legales!$C$5,Parametros_Legales!$C$11,0))</f>
        <v>64000</v>
      </c>
      <c r="O49" s="15" t="n">
        <f aca="false">M49+N49</f>
        <v>128000</v>
      </c>
      <c r="P49" s="15" t="n">
        <f aca="false">K49+L49-O49</f>
        <v>1672000</v>
      </c>
      <c r="Q49" s="15" t="n">
        <f aca="false">IF(K49&lt;Parametros_Legales!$C$15,0,K49*Parametros_Legales!$C$8)</f>
        <v>0</v>
      </c>
      <c r="R49" s="15" t="n">
        <f aca="false">K49*Parametros_Legales!$C$10</f>
        <v>192000</v>
      </c>
      <c r="S49" s="15" t="n">
        <f aca="false">K49*Parametros_Legales!$C$12</f>
        <v>64000</v>
      </c>
      <c r="T49" s="15" t="n">
        <f aca="false">K49*Parametros_Legales!$C$16</f>
        <v>133280</v>
      </c>
      <c r="U49" s="15" t="n">
        <f aca="false">K49*Parametros_Legales!$C$18</f>
        <v>133280</v>
      </c>
      <c r="V49" s="15" t="n">
        <f aca="false">K49*Parametros_Legales!$C$19</f>
        <v>66720</v>
      </c>
      <c r="W49" s="15" t="n">
        <f aca="false">K49+L49+Q49+R49+S49+T49+U49+V49</f>
        <v>2389280</v>
      </c>
    </row>
    <row r="50" customFormat="false" ht="15" hidden="false" customHeight="false" outlineLevel="0" collapsed="false">
      <c r="A50" s="16" t="n">
        <v>49</v>
      </c>
      <c r="B50" s="16" t="s">
        <v>254</v>
      </c>
      <c r="C50" s="16" t="s">
        <v>255</v>
      </c>
      <c r="D50" s="16" t="s">
        <v>116</v>
      </c>
      <c r="E50" s="16" t="s">
        <v>96</v>
      </c>
      <c r="F50" s="16" t="s">
        <v>147</v>
      </c>
      <c r="G50" s="19" t="n">
        <v>43670</v>
      </c>
      <c r="H50" s="16" t="s">
        <v>148</v>
      </c>
      <c r="I50" s="16" t="s">
        <v>161</v>
      </c>
      <c r="J50" s="16" t="s">
        <v>150</v>
      </c>
      <c r="K50" s="20" t="n">
        <v>1560000</v>
      </c>
      <c r="L50" s="17" t="n">
        <f aca="false">IF(K50&lt;=2*Parametros_Legales!$C$5,Parametros_Legales!$C$6,0)</f>
        <v>200000</v>
      </c>
      <c r="M50" s="17" t="n">
        <f aca="false">K50*Parametros_Legales!$C$7</f>
        <v>62400</v>
      </c>
      <c r="N50" s="17" t="n">
        <f aca="false">K50*(Parametros_Legales!$C$9+IF(K50&gt;=4*Parametros_Legales!$C$5,Parametros_Legales!$C$11,0))</f>
        <v>62400</v>
      </c>
      <c r="O50" s="17" t="n">
        <f aca="false">M50+N50</f>
        <v>124800</v>
      </c>
      <c r="P50" s="17" t="n">
        <f aca="false">K50+L50-O50</f>
        <v>1635200</v>
      </c>
      <c r="Q50" s="17" t="n">
        <f aca="false">IF(K50&lt;Parametros_Legales!$C$15,0,K50*Parametros_Legales!$C$8)</f>
        <v>0</v>
      </c>
      <c r="R50" s="17" t="n">
        <f aca="false">K50*Parametros_Legales!$C$10</f>
        <v>187200</v>
      </c>
      <c r="S50" s="17" t="n">
        <f aca="false">K50*Parametros_Legales!$C$12</f>
        <v>62400</v>
      </c>
      <c r="T50" s="17" t="n">
        <f aca="false">K50*Parametros_Legales!$C$16</f>
        <v>129948</v>
      </c>
      <c r="U50" s="17" t="n">
        <f aca="false">K50*Parametros_Legales!$C$18</f>
        <v>129948</v>
      </c>
      <c r="V50" s="17" t="n">
        <f aca="false">K50*Parametros_Legales!$C$19</f>
        <v>65052</v>
      </c>
      <c r="W50" s="17" t="n">
        <f aca="false">K50+L50+Q50+R50+S50+T50+U50+V50</f>
        <v>2334548</v>
      </c>
    </row>
    <row r="51" customFormat="false" ht="15" hidden="false" customHeight="false" outlineLevel="0" collapsed="false">
      <c r="A51" s="14" t="n">
        <v>50</v>
      </c>
      <c r="B51" s="14" t="s">
        <v>256</v>
      </c>
      <c r="C51" s="14" t="s">
        <v>257</v>
      </c>
      <c r="D51" s="14" t="s">
        <v>116</v>
      </c>
      <c r="E51" s="14" t="s">
        <v>96</v>
      </c>
      <c r="F51" s="14" t="s">
        <v>147</v>
      </c>
      <c r="G51" s="21" t="n">
        <v>45492</v>
      </c>
      <c r="H51" s="14" t="s">
        <v>148</v>
      </c>
      <c r="I51" s="14" t="s">
        <v>165</v>
      </c>
      <c r="J51" s="14" t="s">
        <v>154</v>
      </c>
      <c r="K51" s="22" t="n">
        <v>1560000</v>
      </c>
      <c r="L51" s="15" t="n">
        <f aca="false">IF(K51&lt;=2*Parametros_Legales!$C$5,Parametros_Legales!$C$6,0)</f>
        <v>200000</v>
      </c>
      <c r="M51" s="15" t="n">
        <f aca="false">K51*Parametros_Legales!$C$7</f>
        <v>62400</v>
      </c>
      <c r="N51" s="15" t="n">
        <f aca="false">K51*(Parametros_Legales!$C$9+IF(K51&gt;=4*Parametros_Legales!$C$5,Parametros_Legales!$C$11,0))</f>
        <v>62400</v>
      </c>
      <c r="O51" s="15" t="n">
        <f aca="false">M51+N51</f>
        <v>124800</v>
      </c>
      <c r="P51" s="15" t="n">
        <f aca="false">K51+L51-O51</f>
        <v>1635200</v>
      </c>
      <c r="Q51" s="15" t="n">
        <f aca="false">IF(K51&lt;Parametros_Legales!$C$15,0,K51*Parametros_Legales!$C$8)</f>
        <v>0</v>
      </c>
      <c r="R51" s="15" t="n">
        <f aca="false">K51*Parametros_Legales!$C$10</f>
        <v>187200</v>
      </c>
      <c r="S51" s="15" t="n">
        <f aca="false">K51*Parametros_Legales!$C$12</f>
        <v>62400</v>
      </c>
      <c r="T51" s="15" t="n">
        <f aca="false">K51*Parametros_Legales!$C$16</f>
        <v>129948</v>
      </c>
      <c r="U51" s="15" t="n">
        <f aca="false">K51*Parametros_Legales!$C$18</f>
        <v>129948</v>
      </c>
      <c r="V51" s="15" t="n">
        <f aca="false">K51*Parametros_Legales!$C$19</f>
        <v>65052</v>
      </c>
      <c r="W51" s="15" t="n">
        <f aca="false">K51+L51+Q51+R51+S51+T51+U51+V51</f>
        <v>2334548</v>
      </c>
    </row>
    <row r="52" customFormat="false" ht="15" hidden="false" customHeight="false" outlineLevel="0" collapsed="false">
      <c r="A52" s="16" t="n">
        <v>51</v>
      </c>
      <c r="B52" s="16" t="s">
        <v>258</v>
      </c>
      <c r="C52" s="16" t="s">
        <v>259</v>
      </c>
      <c r="D52" s="16" t="s">
        <v>116</v>
      </c>
      <c r="E52" s="16" t="s">
        <v>96</v>
      </c>
      <c r="F52" s="16" t="s">
        <v>147</v>
      </c>
      <c r="G52" s="19" t="n">
        <v>42892</v>
      </c>
      <c r="H52" s="16" t="s">
        <v>148</v>
      </c>
      <c r="I52" s="16" t="s">
        <v>149</v>
      </c>
      <c r="J52" s="16" t="s">
        <v>158</v>
      </c>
      <c r="K52" s="20" t="n">
        <v>1640000</v>
      </c>
      <c r="L52" s="17" t="n">
        <f aca="false">IF(K52&lt;=2*Parametros_Legales!$C$5,Parametros_Legales!$C$6,0)</f>
        <v>200000</v>
      </c>
      <c r="M52" s="17" t="n">
        <f aca="false">K52*Parametros_Legales!$C$7</f>
        <v>65600</v>
      </c>
      <c r="N52" s="17" t="n">
        <f aca="false">K52*(Parametros_Legales!$C$9+IF(K52&gt;=4*Parametros_Legales!$C$5,Parametros_Legales!$C$11,0))</f>
        <v>65600</v>
      </c>
      <c r="O52" s="17" t="n">
        <f aca="false">M52+N52</f>
        <v>131200</v>
      </c>
      <c r="P52" s="17" t="n">
        <f aca="false">K52+L52-O52</f>
        <v>1708800</v>
      </c>
      <c r="Q52" s="17" t="n">
        <f aca="false">IF(K52&lt;Parametros_Legales!$C$15,0,K52*Parametros_Legales!$C$8)</f>
        <v>0</v>
      </c>
      <c r="R52" s="17" t="n">
        <f aca="false">K52*Parametros_Legales!$C$10</f>
        <v>196800</v>
      </c>
      <c r="S52" s="17" t="n">
        <f aca="false">K52*Parametros_Legales!$C$12</f>
        <v>65600</v>
      </c>
      <c r="T52" s="17" t="n">
        <f aca="false">K52*Parametros_Legales!$C$16</f>
        <v>136612</v>
      </c>
      <c r="U52" s="17" t="n">
        <f aca="false">K52*Parametros_Legales!$C$18</f>
        <v>136612</v>
      </c>
      <c r="V52" s="17" t="n">
        <f aca="false">K52*Parametros_Legales!$C$19</f>
        <v>68388</v>
      </c>
      <c r="W52" s="17" t="n">
        <f aca="false">K52+L52+Q52+R52+S52+T52+U52+V52</f>
        <v>2444012</v>
      </c>
    </row>
    <row r="53" customFormat="false" ht="15" hidden="false" customHeight="false" outlineLevel="0" collapsed="false">
      <c r="A53" s="14" t="n">
        <v>52</v>
      </c>
      <c r="B53" s="14" t="s">
        <v>260</v>
      </c>
      <c r="C53" s="14" t="s">
        <v>261</v>
      </c>
      <c r="D53" s="14" t="s">
        <v>116</v>
      </c>
      <c r="E53" s="14" t="s">
        <v>96</v>
      </c>
      <c r="F53" s="14" t="s">
        <v>147</v>
      </c>
      <c r="G53" s="21" t="n">
        <v>42599</v>
      </c>
      <c r="H53" s="14" t="s">
        <v>148</v>
      </c>
      <c r="I53" s="14" t="s">
        <v>153</v>
      </c>
      <c r="J53" s="14" t="s">
        <v>162</v>
      </c>
      <c r="K53" s="22" t="n">
        <v>1600000</v>
      </c>
      <c r="L53" s="15" t="n">
        <f aca="false">IF(K53&lt;=2*Parametros_Legales!$C$5,Parametros_Legales!$C$6,0)</f>
        <v>200000</v>
      </c>
      <c r="M53" s="15" t="n">
        <f aca="false">K53*Parametros_Legales!$C$7</f>
        <v>64000</v>
      </c>
      <c r="N53" s="15" t="n">
        <f aca="false">K53*(Parametros_Legales!$C$9+IF(K53&gt;=4*Parametros_Legales!$C$5,Parametros_Legales!$C$11,0))</f>
        <v>64000</v>
      </c>
      <c r="O53" s="15" t="n">
        <f aca="false">M53+N53</f>
        <v>128000</v>
      </c>
      <c r="P53" s="15" t="n">
        <f aca="false">K53+L53-O53</f>
        <v>1672000</v>
      </c>
      <c r="Q53" s="15" t="n">
        <f aca="false">IF(K53&lt;Parametros_Legales!$C$15,0,K53*Parametros_Legales!$C$8)</f>
        <v>0</v>
      </c>
      <c r="R53" s="15" t="n">
        <f aca="false">K53*Parametros_Legales!$C$10</f>
        <v>192000</v>
      </c>
      <c r="S53" s="15" t="n">
        <f aca="false">K53*Parametros_Legales!$C$12</f>
        <v>64000</v>
      </c>
      <c r="T53" s="15" t="n">
        <f aca="false">K53*Parametros_Legales!$C$16</f>
        <v>133280</v>
      </c>
      <c r="U53" s="15" t="n">
        <f aca="false">K53*Parametros_Legales!$C$18</f>
        <v>133280</v>
      </c>
      <c r="V53" s="15" t="n">
        <f aca="false">K53*Parametros_Legales!$C$19</f>
        <v>66720</v>
      </c>
      <c r="W53" s="15" t="n">
        <f aca="false">K53+L53+Q53+R53+S53+T53+U53+V53</f>
        <v>2389280</v>
      </c>
    </row>
    <row r="54" customFormat="false" ht="15" hidden="false" customHeight="false" outlineLevel="0" collapsed="false">
      <c r="A54" s="16" t="n">
        <v>53</v>
      </c>
      <c r="B54" s="16" t="s">
        <v>262</v>
      </c>
      <c r="C54" s="16" t="s">
        <v>263</v>
      </c>
      <c r="D54" s="16" t="s">
        <v>116</v>
      </c>
      <c r="E54" s="16" t="s">
        <v>96</v>
      </c>
      <c r="F54" s="16" t="s">
        <v>147</v>
      </c>
      <c r="G54" s="19" t="n">
        <v>45304</v>
      </c>
      <c r="H54" s="16" t="s">
        <v>148</v>
      </c>
      <c r="I54" s="16" t="s">
        <v>157</v>
      </c>
      <c r="J54" s="16" t="s">
        <v>150</v>
      </c>
      <c r="K54" s="20" t="n">
        <v>1640000</v>
      </c>
      <c r="L54" s="17" t="n">
        <f aca="false">IF(K54&lt;=2*Parametros_Legales!$C$5,Parametros_Legales!$C$6,0)</f>
        <v>200000</v>
      </c>
      <c r="M54" s="17" t="n">
        <f aca="false">K54*Parametros_Legales!$C$7</f>
        <v>65600</v>
      </c>
      <c r="N54" s="17" t="n">
        <f aca="false">K54*(Parametros_Legales!$C$9+IF(K54&gt;=4*Parametros_Legales!$C$5,Parametros_Legales!$C$11,0))</f>
        <v>65600</v>
      </c>
      <c r="O54" s="17" t="n">
        <f aca="false">M54+N54</f>
        <v>131200</v>
      </c>
      <c r="P54" s="17" t="n">
        <f aca="false">K54+L54-O54</f>
        <v>1708800</v>
      </c>
      <c r="Q54" s="17" t="n">
        <f aca="false">IF(K54&lt;Parametros_Legales!$C$15,0,K54*Parametros_Legales!$C$8)</f>
        <v>0</v>
      </c>
      <c r="R54" s="17" t="n">
        <f aca="false">K54*Parametros_Legales!$C$10</f>
        <v>196800</v>
      </c>
      <c r="S54" s="17" t="n">
        <f aca="false">K54*Parametros_Legales!$C$12</f>
        <v>65600</v>
      </c>
      <c r="T54" s="17" t="n">
        <f aca="false">K54*Parametros_Legales!$C$16</f>
        <v>136612</v>
      </c>
      <c r="U54" s="17" t="n">
        <f aca="false">K54*Parametros_Legales!$C$18</f>
        <v>136612</v>
      </c>
      <c r="V54" s="17" t="n">
        <f aca="false">K54*Parametros_Legales!$C$19</f>
        <v>68388</v>
      </c>
      <c r="W54" s="17" t="n">
        <f aca="false">K54+L54+Q54+R54+S54+T54+U54+V54</f>
        <v>2444012</v>
      </c>
    </row>
    <row r="55" customFormat="false" ht="15" hidden="false" customHeight="false" outlineLevel="0" collapsed="false">
      <c r="A55" s="14" t="n">
        <v>54</v>
      </c>
      <c r="B55" s="14" t="s">
        <v>264</v>
      </c>
      <c r="C55" s="14" t="s">
        <v>265</v>
      </c>
      <c r="D55" s="14" t="s">
        <v>116</v>
      </c>
      <c r="E55" s="14" t="s">
        <v>96</v>
      </c>
      <c r="F55" s="14" t="s">
        <v>147</v>
      </c>
      <c r="G55" s="21" t="n">
        <v>44063</v>
      </c>
      <c r="H55" s="14" t="s">
        <v>148</v>
      </c>
      <c r="I55" s="14" t="s">
        <v>161</v>
      </c>
      <c r="J55" s="14" t="s">
        <v>154</v>
      </c>
      <c r="K55" s="22" t="n">
        <v>1520000</v>
      </c>
      <c r="L55" s="15" t="n">
        <f aca="false">IF(K55&lt;=2*Parametros_Legales!$C$5,Parametros_Legales!$C$6,0)</f>
        <v>200000</v>
      </c>
      <c r="M55" s="15" t="n">
        <f aca="false">K55*Parametros_Legales!$C$7</f>
        <v>60800</v>
      </c>
      <c r="N55" s="15" t="n">
        <f aca="false">K55*(Parametros_Legales!$C$9+IF(K55&gt;=4*Parametros_Legales!$C$5,Parametros_Legales!$C$11,0))</f>
        <v>60800</v>
      </c>
      <c r="O55" s="15" t="n">
        <f aca="false">M55+N55</f>
        <v>121600</v>
      </c>
      <c r="P55" s="15" t="n">
        <f aca="false">K55+L55-O55</f>
        <v>1598400</v>
      </c>
      <c r="Q55" s="15" t="n">
        <f aca="false">IF(K55&lt;Parametros_Legales!$C$15,0,K55*Parametros_Legales!$C$8)</f>
        <v>0</v>
      </c>
      <c r="R55" s="15" t="n">
        <f aca="false">K55*Parametros_Legales!$C$10</f>
        <v>182400</v>
      </c>
      <c r="S55" s="15" t="n">
        <f aca="false">K55*Parametros_Legales!$C$12</f>
        <v>60800</v>
      </c>
      <c r="T55" s="15" t="n">
        <f aca="false">K55*Parametros_Legales!$C$16</f>
        <v>126616</v>
      </c>
      <c r="U55" s="15" t="n">
        <f aca="false">K55*Parametros_Legales!$C$18</f>
        <v>126616</v>
      </c>
      <c r="V55" s="15" t="n">
        <f aca="false">K55*Parametros_Legales!$C$19</f>
        <v>63384</v>
      </c>
      <c r="W55" s="15" t="n">
        <f aca="false">K55+L55+Q55+R55+S55+T55+U55+V55</f>
        <v>2279816</v>
      </c>
    </row>
    <row r="56" customFormat="false" ht="15" hidden="false" customHeight="false" outlineLevel="0" collapsed="false">
      <c r="A56" s="16" t="n">
        <v>55</v>
      </c>
      <c r="B56" s="16" t="s">
        <v>266</v>
      </c>
      <c r="C56" s="16" t="s">
        <v>267</v>
      </c>
      <c r="D56" s="16" t="s">
        <v>116</v>
      </c>
      <c r="E56" s="16" t="s">
        <v>96</v>
      </c>
      <c r="F56" s="16" t="s">
        <v>147</v>
      </c>
      <c r="G56" s="19" t="n">
        <v>45496</v>
      </c>
      <c r="H56" s="16" t="s">
        <v>148</v>
      </c>
      <c r="I56" s="16" t="s">
        <v>165</v>
      </c>
      <c r="J56" s="16" t="s">
        <v>158</v>
      </c>
      <c r="K56" s="20" t="n">
        <v>1500000</v>
      </c>
      <c r="L56" s="17" t="n">
        <f aca="false">IF(K56&lt;=2*Parametros_Legales!$C$5,Parametros_Legales!$C$6,0)</f>
        <v>200000</v>
      </c>
      <c r="M56" s="17" t="n">
        <f aca="false">K56*Parametros_Legales!$C$7</f>
        <v>60000</v>
      </c>
      <c r="N56" s="17" t="n">
        <f aca="false">K56*(Parametros_Legales!$C$9+IF(K56&gt;=4*Parametros_Legales!$C$5,Parametros_Legales!$C$11,0))</f>
        <v>60000</v>
      </c>
      <c r="O56" s="17" t="n">
        <f aca="false">M56+N56</f>
        <v>120000</v>
      </c>
      <c r="P56" s="17" t="n">
        <f aca="false">K56+L56-O56</f>
        <v>1580000</v>
      </c>
      <c r="Q56" s="17" t="n">
        <f aca="false">IF(K56&lt;Parametros_Legales!$C$15,0,K56*Parametros_Legales!$C$8)</f>
        <v>0</v>
      </c>
      <c r="R56" s="17" t="n">
        <f aca="false">K56*Parametros_Legales!$C$10</f>
        <v>180000</v>
      </c>
      <c r="S56" s="17" t="n">
        <f aca="false">K56*Parametros_Legales!$C$12</f>
        <v>60000</v>
      </c>
      <c r="T56" s="17" t="n">
        <f aca="false">K56*Parametros_Legales!$C$16</f>
        <v>124950</v>
      </c>
      <c r="U56" s="17" t="n">
        <f aca="false">K56*Parametros_Legales!$C$18</f>
        <v>124950</v>
      </c>
      <c r="V56" s="17" t="n">
        <f aca="false">K56*Parametros_Legales!$C$19</f>
        <v>62550</v>
      </c>
      <c r="W56" s="17" t="n">
        <f aca="false">K56+L56+Q56+R56+S56+T56+U56+V56</f>
        <v>2252450</v>
      </c>
    </row>
    <row r="57" customFormat="false" ht="15" hidden="false" customHeight="false" outlineLevel="0" collapsed="false">
      <c r="A57" s="14" t="n">
        <v>56</v>
      </c>
      <c r="B57" s="14" t="s">
        <v>268</v>
      </c>
      <c r="C57" s="14" t="s">
        <v>269</v>
      </c>
      <c r="D57" s="14" t="s">
        <v>116</v>
      </c>
      <c r="E57" s="14" t="s">
        <v>96</v>
      </c>
      <c r="F57" s="14" t="s">
        <v>147</v>
      </c>
      <c r="G57" s="21" t="n">
        <v>44236</v>
      </c>
      <c r="H57" s="14" t="s">
        <v>148</v>
      </c>
      <c r="I57" s="14" t="s">
        <v>149</v>
      </c>
      <c r="J57" s="14" t="s">
        <v>162</v>
      </c>
      <c r="K57" s="22" t="n">
        <v>1560000</v>
      </c>
      <c r="L57" s="15" t="n">
        <f aca="false">IF(K57&lt;=2*Parametros_Legales!$C$5,Parametros_Legales!$C$6,0)</f>
        <v>200000</v>
      </c>
      <c r="M57" s="15" t="n">
        <f aca="false">K57*Parametros_Legales!$C$7</f>
        <v>62400</v>
      </c>
      <c r="N57" s="15" t="n">
        <f aca="false">K57*(Parametros_Legales!$C$9+IF(K57&gt;=4*Parametros_Legales!$C$5,Parametros_Legales!$C$11,0))</f>
        <v>62400</v>
      </c>
      <c r="O57" s="15" t="n">
        <f aca="false">M57+N57</f>
        <v>124800</v>
      </c>
      <c r="P57" s="15" t="n">
        <f aca="false">K57+L57-O57</f>
        <v>1635200</v>
      </c>
      <c r="Q57" s="15" t="n">
        <f aca="false">IF(K57&lt;Parametros_Legales!$C$15,0,K57*Parametros_Legales!$C$8)</f>
        <v>0</v>
      </c>
      <c r="R57" s="15" t="n">
        <f aca="false">K57*Parametros_Legales!$C$10</f>
        <v>187200</v>
      </c>
      <c r="S57" s="15" t="n">
        <f aca="false">K57*Parametros_Legales!$C$12</f>
        <v>62400</v>
      </c>
      <c r="T57" s="15" t="n">
        <f aca="false">K57*Parametros_Legales!$C$16</f>
        <v>129948</v>
      </c>
      <c r="U57" s="15" t="n">
        <f aca="false">K57*Parametros_Legales!$C$18</f>
        <v>129948</v>
      </c>
      <c r="V57" s="15" t="n">
        <f aca="false">K57*Parametros_Legales!$C$19</f>
        <v>65052</v>
      </c>
      <c r="W57" s="15" t="n">
        <f aca="false">K57+L57+Q57+R57+S57+T57+U57+V57</f>
        <v>2334548</v>
      </c>
    </row>
    <row r="58" customFormat="false" ht="15" hidden="false" customHeight="false" outlineLevel="0" collapsed="false">
      <c r="A58" s="16" t="n">
        <v>57</v>
      </c>
      <c r="B58" s="16" t="s">
        <v>270</v>
      </c>
      <c r="C58" s="16" t="s">
        <v>271</v>
      </c>
      <c r="D58" s="16" t="s">
        <v>116</v>
      </c>
      <c r="E58" s="16" t="s">
        <v>96</v>
      </c>
      <c r="F58" s="16" t="s">
        <v>147</v>
      </c>
      <c r="G58" s="19" t="n">
        <v>42667</v>
      </c>
      <c r="H58" s="16" t="s">
        <v>148</v>
      </c>
      <c r="I58" s="16" t="s">
        <v>153</v>
      </c>
      <c r="J58" s="16" t="s">
        <v>150</v>
      </c>
      <c r="K58" s="20" t="n">
        <v>1580000</v>
      </c>
      <c r="L58" s="17" t="n">
        <f aca="false">IF(K58&lt;=2*Parametros_Legales!$C$5,Parametros_Legales!$C$6,0)</f>
        <v>200000</v>
      </c>
      <c r="M58" s="17" t="n">
        <f aca="false">K58*Parametros_Legales!$C$7</f>
        <v>63200</v>
      </c>
      <c r="N58" s="17" t="n">
        <f aca="false">K58*(Parametros_Legales!$C$9+IF(K58&gt;=4*Parametros_Legales!$C$5,Parametros_Legales!$C$11,0))</f>
        <v>63200</v>
      </c>
      <c r="O58" s="17" t="n">
        <f aca="false">M58+N58</f>
        <v>126400</v>
      </c>
      <c r="P58" s="17" t="n">
        <f aca="false">K58+L58-O58</f>
        <v>1653600</v>
      </c>
      <c r="Q58" s="17" t="n">
        <f aca="false">IF(K58&lt;Parametros_Legales!$C$15,0,K58*Parametros_Legales!$C$8)</f>
        <v>0</v>
      </c>
      <c r="R58" s="17" t="n">
        <f aca="false">K58*Parametros_Legales!$C$10</f>
        <v>189600</v>
      </c>
      <c r="S58" s="17" t="n">
        <f aca="false">K58*Parametros_Legales!$C$12</f>
        <v>63200</v>
      </c>
      <c r="T58" s="17" t="n">
        <f aca="false">K58*Parametros_Legales!$C$16</f>
        <v>131614</v>
      </c>
      <c r="U58" s="17" t="n">
        <f aca="false">K58*Parametros_Legales!$C$18</f>
        <v>131614</v>
      </c>
      <c r="V58" s="17" t="n">
        <f aca="false">K58*Parametros_Legales!$C$19</f>
        <v>65886</v>
      </c>
      <c r="W58" s="17" t="n">
        <f aca="false">K58+L58+Q58+R58+S58+T58+U58+V58</f>
        <v>2361914</v>
      </c>
    </row>
    <row r="59" customFormat="false" ht="15" hidden="false" customHeight="false" outlineLevel="0" collapsed="false">
      <c r="A59" s="14" t="n">
        <v>58</v>
      </c>
      <c r="B59" s="14" t="s">
        <v>272</v>
      </c>
      <c r="C59" s="14" t="s">
        <v>273</v>
      </c>
      <c r="D59" s="14" t="s">
        <v>116</v>
      </c>
      <c r="E59" s="14" t="s">
        <v>96</v>
      </c>
      <c r="F59" s="14" t="s">
        <v>147</v>
      </c>
      <c r="G59" s="21" t="n">
        <v>43167</v>
      </c>
      <c r="H59" s="14" t="s">
        <v>148</v>
      </c>
      <c r="I59" s="14" t="s">
        <v>157</v>
      </c>
      <c r="J59" s="14" t="s">
        <v>154</v>
      </c>
      <c r="K59" s="22" t="n">
        <v>1670000</v>
      </c>
      <c r="L59" s="15" t="n">
        <f aca="false">IF(K59&lt;=2*Parametros_Legales!$C$5,Parametros_Legales!$C$6,0)</f>
        <v>200000</v>
      </c>
      <c r="M59" s="15" t="n">
        <f aca="false">K59*Parametros_Legales!$C$7</f>
        <v>66800</v>
      </c>
      <c r="N59" s="15" t="n">
        <f aca="false">K59*(Parametros_Legales!$C$9+IF(K59&gt;=4*Parametros_Legales!$C$5,Parametros_Legales!$C$11,0))</f>
        <v>66800</v>
      </c>
      <c r="O59" s="15" t="n">
        <f aca="false">M59+N59</f>
        <v>133600</v>
      </c>
      <c r="P59" s="15" t="n">
        <f aca="false">K59+L59-O59</f>
        <v>1736400</v>
      </c>
      <c r="Q59" s="15" t="n">
        <f aca="false">IF(K59&lt;Parametros_Legales!$C$15,0,K59*Parametros_Legales!$C$8)</f>
        <v>0</v>
      </c>
      <c r="R59" s="15" t="n">
        <f aca="false">K59*Parametros_Legales!$C$10</f>
        <v>200400</v>
      </c>
      <c r="S59" s="15" t="n">
        <f aca="false">K59*Parametros_Legales!$C$12</f>
        <v>66800</v>
      </c>
      <c r="T59" s="15" t="n">
        <f aca="false">K59*Parametros_Legales!$C$16</f>
        <v>139111</v>
      </c>
      <c r="U59" s="15" t="n">
        <f aca="false">K59*Parametros_Legales!$C$18</f>
        <v>139111</v>
      </c>
      <c r="V59" s="15" t="n">
        <f aca="false">K59*Parametros_Legales!$C$19</f>
        <v>69639</v>
      </c>
      <c r="W59" s="15" t="n">
        <f aca="false">K59+L59+Q59+R59+S59+T59+U59+V59</f>
        <v>2485061</v>
      </c>
    </row>
    <row r="60" customFormat="false" ht="15" hidden="false" customHeight="false" outlineLevel="0" collapsed="false">
      <c r="A60" s="16" t="n">
        <v>59</v>
      </c>
      <c r="B60" s="16" t="s">
        <v>274</v>
      </c>
      <c r="C60" s="16" t="s">
        <v>275</v>
      </c>
      <c r="D60" s="16" t="s">
        <v>116</v>
      </c>
      <c r="E60" s="16" t="s">
        <v>96</v>
      </c>
      <c r="F60" s="16" t="s">
        <v>147</v>
      </c>
      <c r="G60" s="19" t="n">
        <v>45639</v>
      </c>
      <c r="H60" s="16" t="s">
        <v>148</v>
      </c>
      <c r="I60" s="16" t="s">
        <v>161</v>
      </c>
      <c r="J60" s="16" t="s">
        <v>158</v>
      </c>
      <c r="K60" s="20" t="n">
        <v>1560000</v>
      </c>
      <c r="L60" s="17" t="n">
        <f aca="false">IF(K60&lt;=2*Parametros_Legales!$C$5,Parametros_Legales!$C$6,0)</f>
        <v>200000</v>
      </c>
      <c r="M60" s="17" t="n">
        <f aca="false">K60*Parametros_Legales!$C$7</f>
        <v>62400</v>
      </c>
      <c r="N60" s="17" t="n">
        <f aca="false">K60*(Parametros_Legales!$C$9+IF(K60&gt;=4*Parametros_Legales!$C$5,Parametros_Legales!$C$11,0))</f>
        <v>62400</v>
      </c>
      <c r="O60" s="17" t="n">
        <f aca="false">M60+N60</f>
        <v>124800</v>
      </c>
      <c r="P60" s="17" t="n">
        <f aca="false">K60+L60-O60</f>
        <v>1635200</v>
      </c>
      <c r="Q60" s="17" t="n">
        <f aca="false">IF(K60&lt;Parametros_Legales!$C$15,0,K60*Parametros_Legales!$C$8)</f>
        <v>0</v>
      </c>
      <c r="R60" s="17" t="n">
        <f aca="false">K60*Parametros_Legales!$C$10</f>
        <v>187200</v>
      </c>
      <c r="S60" s="17" t="n">
        <f aca="false">K60*Parametros_Legales!$C$12</f>
        <v>62400</v>
      </c>
      <c r="T60" s="17" t="n">
        <f aca="false">K60*Parametros_Legales!$C$16</f>
        <v>129948</v>
      </c>
      <c r="U60" s="17" t="n">
        <f aca="false">K60*Parametros_Legales!$C$18</f>
        <v>129948</v>
      </c>
      <c r="V60" s="17" t="n">
        <f aca="false">K60*Parametros_Legales!$C$19</f>
        <v>65052</v>
      </c>
      <c r="W60" s="17" t="n">
        <f aca="false">K60+L60+Q60+R60+S60+T60+U60+V60</f>
        <v>2334548</v>
      </c>
    </row>
    <row r="61" customFormat="false" ht="15" hidden="false" customHeight="false" outlineLevel="0" collapsed="false">
      <c r="A61" s="14" t="n">
        <v>60</v>
      </c>
      <c r="B61" s="14" t="s">
        <v>276</v>
      </c>
      <c r="C61" s="14" t="s">
        <v>277</v>
      </c>
      <c r="D61" s="14" t="s">
        <v>116</v>
      </c>
      <c r="E61" s="14" t="s">
        <v>96</v>
      </c>
      <c r="F61" s="14" t="s">
        <v>147</v>
      </c>
      <c r="G61" s="21" t="n">
        <v>43486</v>
      </c>
      <c r="H61" s="14" t="s">
        <v>148</v>
      </c>
      <c r="I61" s="14" t="s">
        <v>165</v>
      </c>
      <c r="J61" s="14" t="s">
        <v>162</v>
      </c>
      <c r="K61" s="22" t="n">
        <v>1510000</v>
      </c>
      <c r="L61" s="15" t="n">
        <f aca="false">IF(K61&lt;=2*Parametros_Legales!$C$5,Parametros_Legales!$C$6,0)</f>
        <v>200000</v>
      </c>
      <c r="M61" s="15" t="n">
        <f aca="false">K61*Parametros_Legales!$C$7</f>
        <v>60400</v>
      </c>
      <c r="N61" s="15" t="n">
        <f aca="false">K61*(Parametros_Legales!$C$9+IF(K61&gt;=4*Parametros_Legales!$C$5,Parametros_Legales!$C$11,0))</f>
        <v>60400</v>
      </c>
      <c r="O61" s="15" t="n">
        <f aca="false">M61+N61</f>
        <v>120800</v>
      </c>
      <c r="P61" s="15" t="n">
        <f aca="false">K61+L61-O61</f>
        <v>1589200</v>
      </c>
      <c r="Q61" s="15" t="n">
        <f aca="false">IF(K61&lt;Parametros_Legales!$C$15,0,K61*Parametros_Legales!$C$8)</f>
        <v>0</v>
      </c>
      <c r="R61" s="15" t="n">
        <f aca="false">K61*Parametros_Legales!$C$10</f>
        <v>181200</v>
      </c>
      <c r="S61" s="15" t="n">
        <f aca="false">K61*Parametros_Legales!$C$12</f>
        <v>60400</v>
      </c>
      <c r="T61" s="15" t="n">
        <f aca="false">K61*Parametros_Legales!$C$16</f>
        <v>125783</v>
      </c>
      <c r="U61" s="15" t="n">
        <f aca="false">K61*Parametros_Legales!$C$18</f>
        <v>125783</v>
      </c>
      <c r="V61" s="15" t="n">
        <f aca="false">K61*Parametros_Legales!$C$19</f>
        <v>62967</v>
      </c>
      <c r="W61" s="15" t="n">
        <f aca="false">K61+L61+Q61+R61+S61+T61+U61+V61</f>
        <v>2266133</v>
      </c>
    </row>
    <row r="62" customFormat="false" ht="15" hidden="false" customHeight="false" outlineLevel="0" collapsed="false">
      <c r="A62" s="16" t="n">
        <v>61</v>
      </c>
      <c r="B62" s="16" t="s">
        <v>278</v>
      </c>
      <c r="C62" s="16" t="s">
        <v>279</v>
      </c>
      <c r="D62" s="16" t="s">
        <v>116</v>
      </c>
      <c r="E62" s="16" t="s">
        <v>96</v>
      </c>
      <c r="F62" s="16" t="s">
        <v>147</v>
      </c>
      <c r="G62" s="19" t="n">
        <v>45598</v>
      </c>
      <c r="H62" s="16" t="s">
        <v>148</v>
      </c>
      <c r="I62" s="16" t="s">
        <v>149</v>
      </c>
      <c r="J62" s="16" t="s">
        <v>150</v>
      </c>
      <c r="K62" s="20" t="n">
        <v>1550000</v>
      </c>
      <c r="L62" s="17" t="n">
        <f aca="false">IF(K62&lt;=2*Parametros_Legales!$C$5,Parametros_Legales!$C$6,0)</f>
        <v>200000</v>
      </c>
      <c r="M62" s="17" t="n">
        <f aca="false">K62*Parametros_Legales!$C$7</f>
        <v>62000</v>
      </c>
      <c r="N62" s="17" t="n">
        <f aca="false">K62*(Parametros_Legales!$C$9+IF(K62&gt;=4*Parametros_Legales!$C$5,Parametros_Legales!$C$11,0))</f>
        <v>62000</v>
      </c>
      <c r="O62" s="17" t="n">
        <f aca="false">M62+N62</f>
        <v>124000</v>
      </c>
      <c r="P62" s="17" t="n">
        <f aca="false">K62+L62-O62</f>
        <v>1626000</v>
      </c>
      <c r="Q62" s="17" t="n">
        <f aca="false">IF(K62&lt;Parametros_Legales!$C$15,0,K62*Parametros_Legales!$C$8)</f>
        <v>0</v>
      </c>
      <c r="R62" s="17" t="n">
        <f aca="false">K62*Parametros_Legales!$C$10</f>
        <v>186000</v>
      </c>
      <c r="S62" s="17" t="n">
        <f aca="false">K62*Parametros_Legales!$C$12</f>
        <v>62000</v>
      </c>
      <c r="T62" s="17" t="n">
        <f aca="false">K62*Parametros_Legales!$C$16</f>
        <v>129115</v>
      </c>
      <c r="U62" s="17" t="n">
        <f aca="false">K62*Parametros_Legales!$C$18</f>
        <v>129115</v>
      </c>
      <c r="V62" s="17" t="n">
        <f aca="false">K62*Parametros_Legales!$C$19</f>
        <v>64635</v>
      </c>
      <c r="W62" s="17" t="n">
        <f aca="false">K62+L62+Q62+R62+S62+T62+U62+V62</f>
        <v>2320865</v>
      </c>
    </row>
    <row r="63" customFormat="false" ht="15" hidden="false" customHeight="false" outlineLevel="0" collapsed="false">
      <c r="A63" s="14" t="n">
        <v>62</v>
      </c>
      <c r="B63" s="14" t="s">
        <v>280</v>
      </c>
      <c r="C63" s="14" t="s">
        <v>281</v>
      </c>
      <c r="D63" s="14" t="s">
        <v>116</v>
      </c>
      <c r="E63" s="14" t="s">
        <v>96</v>
      </c>
      <c r="F63" s="14" t="s">
        <v>147</v>
      </c>
      <c r="G63" s="21" t="n">
        <v>43545</v>
      </c>
      <c r="H63" s="14" t="s">
        <v>148</v>
      </c>
      <c r="I63" s="14" t="s">
        <v>153</v>
      </c>
      <c r="J63" s="14" t="s">
        <v>154</v>
      </c>
      <c r="K63" s="22" t="n">
        <v>1530000</v>
      </c>
      <c r="L63" s="15" t="n">
        <f aca="false">IF(K63&lt;=2*Parametros_Legales!$C$5,Parametros_Legales!$C$6,0)</f>
        <v>200000</v>
      </c>
      <c r="M63" s="15" t="n">
        <f aca="false">K63*Parametros_Legales!$C$7</f>
        <v>61200</v>
      </c>
      <c r="N63" s="15" t="n">
        <f aca="false">K63*(Parametros_Legales!$C$9+IF(K63&gt;=4*Parametros_Legales!$C$5,Parametros_Legales!$C$11,0))</f>
        <v>61200</v>
      </c>
      <c r="O63" s="15" t="n">
        <f aca="false">M63+N63</f>
        <v>122400</v>
      </c>
      <c r="P63" s="15" t="n">
        <f aca="false">K63+L63-O63</f>
        <v>1607600</v>
      </c>
      <c r="Q63" s="15" t="n">
        <f aca="false">IF(K63&lt;Parametros_Legales!$C$15,0,K63*Parametros_Legales!$C$8)</f>
        <v>0</v>
      </c>
      <c r="R63" s="15" t="n">
        <f aca="false">K63*Parametros_Legales!$C$10</f>
        <v>183600</v>
      </c>
      <c r="S63" s="15" t="n">
        <f aca="false">K63*Parametros_Legales!$C$12</f>
        <v>61200</v>
      </c>
      <c r="T63" s="15" t="n">
        <f aca="false">K63*Parametros_Legales!$C$16</f>
        <v>127449</v>
      </c>
      <c r="U63" s="15" t="n">
        <f aca="false">K63*Parametros_Legales!$C$18</f>
        <v>127449</v>
      </c>
      <c r="V63" s="15" t="n">
        <f aca="false">K63*Parametros_Legales!$C$19</f>
        <v>63801</v>
      </c>
      <c r="W63" s="15" t="n">
        <f aca="false">K63+L63+Q63+R63+S63+T63+U63+V63</f>
        <v>2293499</v>
      </c>
    </row>
    <row r="64" customFormat="false" ht="15" hidden="false" customHeight="false" outlineLevel="0" collapsed="false">
      <c r="A64" s="16" t="n">
        <v>63</v>
      </c>
      <c r="B64" s="16" t="s">
        <v>282</v>
      </c>
      <c r="C64" s="16" t="s">
        <v>283</v>
      </c>
      <c r="D64" s="16" t="s">
        <v>116</v>
      </c>
      <c r="E64" s="16" t="s">
        <v>96</v>
      </c>
      <c r="F64" s="16" t="s">
        <v>147</v>
      </c>
      <c r="G64" s="19" t="n">
        <v>43563</v>
      </c>
      <c r="H64" s="16" t="s">
        <v>148</v>
      </c>
      <c r="I64" s="16" t="s">
        <v>157</v>
      </c>
      <c r="J64" s="16" t="s">
        <v>158</v>
      </c>
      <c r="K64" s="20" t="n">
        <v>1680000</v>
      </c>
      <c r="L64" s="17" t="n">
        <f aca="false">IF(K64&lt;=2*Parametros_Legales!$C$5,Parametros_Legales!$C$6,0)</f>
        <v>200000</v>
      </c>
      <c r="M64" s="17" t="n">
        <f aca="false">K64*Parametros_Legales!$C$7</f>
        <v>67200</v>
      </c>
      <c r="N64" s="17" t="n">
        <f aca="false">K64*(Parametros_Legales!$C$9+IF(K64&gt;=4*Parametros_Legales!$C$5,Parametros_Legales!$C$11,0))</f>
        <v>67200</v>
      </c>
      <c r="O64" s="17" t="n">
        <f aca="false">M64+N64</f>
        <v>134400</v>
      </c>
      <c r="P64" s="17" t="n">
        <f aca="false">K64+L64-O64</f>
        <v>1745600</v>
      </c>
      <c r="Q64" s="17" t="n">
        <f aca="false">IF(K64&lt;Parametros_Legales!$C$15,0,K64*Parametros_Legales!$C$8)</f>
        <v>0</v>
      </c>
      <c r="R64" s="17" t="n">
        <f aca="false">K64*Parametros_Legales!$C$10</f>
        <v>201600</v>
      </c>
      <c r="S64" s="17" t="n">
        <f aca="false">K64*Parametros_Legales!$C$12</f>
        <v>67200</v>
      </c>
      <c r="T64" s="17" t="n">
        <f aca="false">K64*Parametros_Legales!$C$16</f>
        <v>139944</v>
      </c>
      <c r="U64" s="17" t="n">
        <f aca="false">K64*Parametros_Legales!$C$18</f>
        <v>139944</v>
      </c>
      <c r="V64" s="17" t="n">
        <f aca="false">K64*Parametros_Legales!$C$19</f>
        <v>70056</v>
      </c>
      <c r="W64" s="17" t="n">
        <f aca="false">K64+L64+Q64+R64+S64+T64+U64+V64</f>
        <v>2498744</v>
      </c>
    </row>
    <row r="65" customFormat="false" ht="15" hidden="false" customHeight="false" outlineLevel="0" collapsed="false">
      <c r="A65" s="14" t="n">
        <v>64</v>
      </c>
      <c r="B65" s="14" t="s">
        <v>284</v>
      </c>
      <c r="C65" s="14" t="s">
        <v>285</v>
      </c>
      <c r="D65" s="14" t="s">
        <v>116</v>
      </c>
      <c r="E65" s="14" t="s">
        <v>96</v>
      </c>
      <c r="F65" s="14" t="s">
        <v>147</v>
      </c>
      <c r="G65" s="21" t="n">
        <v>44901</v>
      </c>
      <c r="H65" s="14" t="s">
        <v>148</v>
      </c>
      <c r="I65" s="14" t="s">
        <v>161</v>
      </c>
      <c r="J65" s="14" t="s">
        <v>162</v>
      </c>
      <c r="K65" s="22" t="n">
        <v>1600000</v>
      </c>
      <c r="L65" s="15" t="n">
        <f aca="false">IF(K65&lt;=2*Parametros_Legales!$C$5,Parametros_Legales!$C$6,0)</f>
        <v>200000</v>
      </c>
      <c r="M65" s="15" t="n">
        <f aca="false">K65*Parametros_Legales!$C$7</f>
        <v>64000</v>
      </c>
      <c r="N65" s="15" t="n">
        <f aca="false">K65*(Parametros_Legales!$C$9+IF(K65&gt;=4*Parametros_Legales!$C$5,Parametros_Legales!$C$11,0))</f>
        <v>64000</v>
      </c>
      <c r="O65" s="15" t="n">
        <f aca="false">M65+N65</f>
        <v>128000</v>
      </c>
      <c r="P65" s="15" t="n">
        <f aca="false">K65+L65-O65</f>
        <v>1672000</v>
      </c>
      <c r="Q65" s="15" t="n">
        <f aca="false">IF(K65&lt;Parametros_Legales!$C$15,0,K65*Parametros_Legales!$C$8)</f>
        <v>0</v>
      </c>
      <c r="R65" s="15" t="n">
        <f aca="false">K65*Parametros_Legales!$C$10</f>
        <v>192000</v>
      </c>
      <c r="S65" s="15" t="n">
        <f aca="false">K65*Parametros_Legales!$C$12</f>
        <v>64000</v>
      </c>
      <c r="T65" s="15" t="n">
        <f aca="false">K65*Parametros_Legales!$C$16</f>
        <v>133280</v>
      </c>
      <c r="U65" s="15" t="n">
        <f aca="false">K65*Parametros_Legales!$C$18</f>
        <v>133280</v>
      </c>
      <c r="V65" s="15" t="n">
        <f aca="false">K65*Parametros_Legales!$C$19</f>
        <v>66720</v>
      </c>
      <c r="W65" s="15" t="n">
        <f aca="false">K65+L65+Q65+R65+S65+T65+U65+V65</f>
        <v>2389280</v>
      </c>
    </row>
    <row r="66" customFormat="false" ht="15" hidden="false" customHeight="false" outlineLevel="0" collapsed="false">
      <c r="A66" s="16" t="n">
        <v>65</v>
      </c>
      <c r="B66" s="16" t="s">
        <v>286</v>
      </c>
      <c r="C66" s="16" t="s">
        <v>287</v>
      </c>
      <c r="D66" s="16" t="s">
        <v>116</v>
      </c>
      <c r="E66" s="16" t="s">
        <v>96</v>
      </c>
      <c r="F66" s="16" t="s">
        <v>147</v>
      </c>
      <c r="G66" s="19" t="n">
        <v>44006</v>
      </c>
      <c r="H66" s="16" t="s">
        <v>148</v>
      </c>
      <c r="I66" s="16" t="s">
        <v>165</v>
      </c>
      <c r="J66" s="16" t="s">
        <v>150</v>
      </c>
      <c r="K66" s="20" t="n">
        <v>1590000</v>
      </c>
      <c r="L66" s="17" t="n">
        <f aca="false">IF(K66&lt;=2*Parametros_Legales!$C$5,Parametros_Legales!$C$6,0)</f>
        <v>200000</v>
      </c>
      <c r="M66" s="17" t="n">
        <f aca="false">K66*Parametros_Legales!$C$7</f>
        <v>63600</v>
      </c>
      <c r="N66" s="17" t="n">
        <f aca="false">K66*(Parametros_Legales!$C$9+IF(K66&gt;=4*Parametros_Legales!$C$5,Parametros_Legales!$C$11,0))</f>
        <v>63600</v>
      </c>
      <c r="O66" s="17" t="n">
        <f aca="false">M66+N66</f>
        <v>127200</v>
      </c>
      <c r="P66" s="17" t="n">
        <f aca="false">K66+L66-O66</f>
        <v>1662800</v>
      </c>
      <c r="Q66" s="17" t="n">
        <f aca="false">IF(K66&lt;Parametros_Legales!$C$15,0,K66*Parametros_Legales!$C$8)</f>
        <v>0</v>
      </c>
      <c r="R66" s="17" t="n">
        <f aca="false">K66*Parametros_Legales!$C$10</f>
        <v>190800</v>
      </c>
      <c r="S66" s="17" t="n">
        <f aca="false">K66*Parametros_Legales!$C$12</f>
        <v>63600</v>
      </c>
      <c r="T66" s="17" t="n">
        <f aca="false">K66*Parametros_Legales!$C$16</f>
        <v>132447</v>
      </c>
      <c r="U66" s="17" t="n">
        <f aca="false">K66*Parametros_Legales!$C$18</f>
        <v>132447</v>
      </c>
      <c r="V66" s="17" t="n">
        <f aca="false">K66*Parametros_Legales!$C$19</f>
        <v>66303</v>
      </c>
      <c r="W66" s="17" t="n">
        <f aca="false">K66+L66+Q66+R66+S66+T66+U66+V66</f>
        <v>2375597</v>
      </c>
    </row>
    <row r="67" customFormat="false" ht="15" hidden="false" customHeight="false" outlineLevel="0" collapsed="false">
      <c r="A67" s="14" t="n">
        <v>66</v>
      </c>
      <c r="B67" s="14" t="s">
        <v>288</v>
      </c>
      <c r="C67" s="14" t="s">
        <v>289</v>
      </c>
      <c r="D67" s="14" t="s">
        <v>116</v>
      </c>
      <c r="E67" s="14" t="s">
        <v>96</v>
      </c>
      <c r="F67" s="14" t="s">
        <v>147</v>
      </c>
      <c r="G67" s="21" t="n">
        <v>45469</v>
      </c>
      <c r="H67" s="14" t="s">
        <v>148</v>
      </c>
      <c r="I67" s="14" t="s">
        <v>149</v>
      </c>
      <c r="J67" s="14" t="s">
        <v>154</v>
      </c>
      <c r="K67" s="22" t="n">
        <v>1680000</v>
      </c>
      <c r="L67" s="15" t="n">
        <f aca="false">IF(K67&lt;=2*Parametros_Legales!$C$5,Parametros_Legales!$C$6,0)</f>
        <v>200000</v>
      </c>
      <c r="M67" s="15" t="n">
        <f aca="false">K67*Parametros_Legales!$C$7</f>
        <v>67200</v>
      </c>
      <c r="N67" s="15" t="n">
        <f aca="false">K67*(Parametros_Legales!$C$9+IF(K67&gt;=4*Parametros_Legales!$C$5,Parametros_Legales!$C$11,0))</f>
        <v>67200</v>
      </c>
      <c r="O67" s="15" t="n">
        <f aca="false">M67+N67</f>
        <v>134400</v>
      </c>
      <c r="P67" s="15" t="n">
        <f aca="false">K67+L67-O67</f>
        <v>1745600</v>
      </c>
      <c r="Q67" s="15" t="n">
        <f aca="false">IF(K67&lt;Parametros_Legales!$C$15,0,K67*Parametros_Legales!$C$8)</f>
        <v>0</v>
      </c>
      <c r="R67" s="15" t="n">
        <f aca="false">K67*Parametros_Legales!$C$10</f>
        <v>201600</v>
      </c>
      <c r="S67" s="15" t="n">
        <f aca="false">K67*Parametros_Legales!$C$12</f>
        <v>67200</v>
      </c>
      <c r="T67" s="15" t="n">
        <f aca="false">K67*Parametros_Legales!$C$16</f>
        <v>139944</v>
      </c>
      <c r="U67" s="15" t="n">
        <f aca="false">K67*Parametros_Legales!$C$18</f>
        <v>139944</v>
      </c>
      <c r="V67" s="15" t="n">
        <f aca="false">K67*Parametros_Legales!$C$19</f>
        <v>70056</v>
      </c>
      <c r="W67" s="15" t="n">
        <f aca="false">K67+L67+Q67+R67+S67+T67+U67+V67</f>
        <v>2498744</v>
      </c>
    </row>
    <row r="68" customFormat="false" ht="15" hidden="false" customHeight="false" outlineLevel="0" collapsed="false">
      <c r="A68" s="16" t="n">
        <v>67</v>
      </c>
      <c r="B68" s="16" t="s">
        <v>290</v>
      </c>
      <c r="C68" s="16" t="s">
        <v>291</v>
      </c>
      <c r="D68" s="16" t="s">
        <v>116</v>
      </c>
      <c r="E68" s="16" t="s">
        <v>96</v>
      </c>
      <c r="F68" s="16" t="s">
        <v>147</v>
      </c>
      <c r="G68" s="19" t="n">
        <v>45597</v>
      </c>
      <c r="H68" s="16" t="s">
        <v>148</v>
      </c>
      <c r="I68" s="16" t="s">
        <v>153</v>
      </c>
      <c r="J68" s="16" t="s">
        <v>158</v>
      </c>
      <c r="K68" s="20" t="n">
        <v>1610000</v>
      </c>
      <c r="L68" s="17" t="n">
        <f aca="false">IF(K68&lt;=2*Parametros_Legales!$C$5,Parametros_Legales!$C$6,0)</f>
        <v>200000</v>
      </c>
      <c r="M68" s="17" t="n">
        <f aca="false">K68*Parametros_Legales!$C$7</f>
        <v>64400</v>
      </c>
      <c r="N68" s="17" t="n">
        <f aca="false">K68*(Parametros_Legales!$C$9+IF(K68&gt;=4*Parametros_Legales!$C$5,Parametros_Legales!$C$11,0))</f>
        <v>64400</v>
      </c>
      <c r="O68" s="17" t="n">
        <f aca="false">M68+N68</f>
        <v>128800</v>
      </c>
      <c r="P68" s="17" t="n">
        <f aca="false">K68+L68-O68</f>
        <v>1681200</v>
      </c>
      <c r="Q68" s="17" t="n">
        <f aca="false">IF(K68&lt;Parametros_Legales!$C$15,0,K68*Parametros_Legales!$C$8)</f>
        <v>0</v>
      </c>
      <c r="R68" s="17" t="n">
        <f aca="false">K68*Parametros_Legales!$C$10</f>
        <v>193200</v>
      </c>
      <c r="S68" s="17" t="n">
        <f aca="false">K68*Parametros_Legales!$C$12</f>
        <v>64400</v>
      </c>
      <c r="T68" s="17" t="n">
        <f aca="false">K68*Parametros_Legales!$C$16</f>
        <v>134113</v>
      </c>
      <c r="U68" s="17" t="n">
        <f aca="false">K68*Parametros_Legales!$C$18</f>
        <v>134113</v>
      </c>
      <c r="V68" s="17" t="n">
        <f aca="false">K68*Parametros_Legales!$C$19</f>
        <v>67137</v>
      </c>
      <c r="W68" s="17" t="n">
        <f aca="false">K68+L68+Q68+R68+S68+T68+U68+V68</f>
        <v>2402963</v>
      </c>
    </row>
    <row r="69" customFormat="false" ht="15" hidden="false" customHeight="false" outlineLevel="0" collapsed="false">
      <c r="A69" s="14" t="n">
        <v>68</v>
      </c>
      <c r="B69" s="14" t="s">
        <v>292</v>
      </c>
      <c r="C69" s="14" t="s">
        <v>293</v>
      </c>
      <c r="D69" s="14" t="s">
        <v>116</v>
      </c>
      <c r="E69" s="14" t="s">
        <v>96</v>
      </c>
      <c r="F69" s="14" t="s">
        <v>147</v>
      </c>
      <c r="G69" s="21" t="n">
        <v>42997</v>
      </c>
      <c r="H69" s="14" t="s">
        <v>148</v>
      </c>
      <c r="I69" s="14" t="s">
        <v>157</v>
      </c>
      <c r="J69" s="14" t="s">
        <v>162</v>
      </c>
      <c r="K69" s="22" t="n">
        <v>1670000</v>
      </c>
      <c r="L69" s="15" t="n">
        <f aca="false">IF(K69&lt;=2*Parametros_Legales!$C$5,Parametros_Legales!$C$6,0)</f>
        <v>200000</v>
      </c>
      <c r="M69" s="15" t="n">
        <f aca="false">K69*Parametros_Legales!$C$7</f>
        <v>66800</v>
      </c>
      <c r="N69" s="15" t="n">
        <f aca="false">K69*(Parametros_Legales!$C$9+IF(K69&gt;=4*Parametros_Legales!$C$5,Parametros_Legales!$C$11,0))</f>
        <v>66800</v>
      </c>
      <c r="O69" s="15" t="n">
        <f aca="false">M69+N69</f>
        <v>133600</v>
      </c>
      <c r="P69" s="15" t="n">
        <f aca="false">K69+L69-O69</f>
        <v>1736400</v>
      </c>
      <c r="Q69" s="15" t="n">
        <f aca="false">IF(K69&lt;Parametros_Legales!$C$15,0,K69*Parametros_Legales!$C$8)</f>
        <v>0</v>
      </c>
      <c r="R69" s="15" t="n">
        <f aca="false">K69*Parametros_Legales!$C$10</f>
        <v>200400</v>
      </c>
      <c r="S69" s="15" t="n">
        <f aca="false">K69*Parametros_Legales!$C$12</f>
        <v>66800</v>
      </c>
      <c r="T69" s="15" t="n">
        <f aca="false">K69*Parametros_Legales!$C$16</f>
        <v>139111</v>
      </c>
      <c r="U69" s="15" t="n">
        <f aca="false">K69*Parametros_Legales!$C$18</f>
        <v>139111</v>
      </c>
      <c r="V69" s="15" t="n">
        <f aca="false">K69*Parametros_Legales!$C$19</f>
        <v>69639</v>
      </c>
      <c r="W69" s="15" t="n">
        <f aca="false">K69+L69+Q69+R69+S69+T69+U69+V69</f>
        <v>2485061</v>
      </c>
    </row>
    <row r="70" customFormat="false" ht="15" hidden="false" customHeight="false" outlineLevel="0" collapsed="false">
      <c r="A70" s="16" t="n">
        <v>69</v>
      </c>
      <c r="B70" s="16" t="s">
        <v>294</v>
      </c>
      <c r="C70" s="16" t="s">
        <v>295</v>
      </c>
      <c r="D70" s="16" t="s">
        <v>116</v>
      </c>
      <c r="E70" s="16" t="s">
        <v>96</v>
      </c>
      <c r="F70" s="16" t="s">
        <v>147</v>
      </c>
      <c r="G70" s="19" t="n">
        <v>45328</v>
      </c>
      <c r="H70" s="16" t="s">
        <v>148</v>
      </c>
      <c r="I70" s="16" t="s">
        <v>161</v>
      </c>
      <c r="J70" s="16" t="s">
        <v>150</v>
      </c>
      <c r="K70" s="20" t="n">
        <v>1530000</v>
      </c>
      <c r="L70" s="17" t="n">
        <f aca="false">IF(K70&lt;=2*Parametros_Legales!$C$5,Parametros_Legales!$C$6,0)</f>
        <v>200000</v>
      </c>
      <c r="M70" s="17" t="n">
        <f aca="false">K70*Parametros_Legales!$C$7</f>
        <v>61200</v>
      </c>
      <c r="N70" s="17" t="n">
        <f aca="false">K70*(Parametros_Legales!$C$9+IF(K70&gt;=4*Parametros_Legales!$C$5,Parametros_Legales!$C$11,0))</f>
        <v>61200</v>
      </c>
      <c r="O70" s="17" t="n">
        <f aca="false">M70+N70</f>
        <v>122400</v>
      </c>
      <c r="P70" s="17" t="n">
        <f aca="false">K70+L70-O70</f>
        <v>1607600</v>
      </c>
      <c r="Q70" s="17" t="n">
        <f aca="false">IF(K70&lt;Parametros_Legales!$C$15,0,K70*Parametros_Legales!$C$8)</f>
        <v>0</v>
      </c>
      <c r="R70" s="17" t="n">
        <f aca="false">K70*Parametros_Legales!$C$10</f>
        <v>183600</v>
      </c>
      <c r="S70" s="17" t="n">
        <f aca="false">K70*Parametros_Legales!$C$12</f>
        <v>61200</v>
      </c>
      <c r="T70" s="17" t="n">
        <f aca="false">K70*Parametros_Legales!$C$16</f>
        <v>127449</v>
      </c>
      <c r="U70" s="17" t="n">
        <f aca="false">K70*Parametros_Legales!$C$18</f>
        <v>127449</v>
      </c>
      <c r="V70" s="17" t="n">
        <f aca="false">K70*Parametros_Legales!$C$19</f>
        <v>63801</v>
      </c>
      <c r="W70" s="17" t="n">
        <f aca="false">K70+L70+Q70+R70+S70+T70+U70+V70</f>
        <v>2293499</v>
      </c>
    </row>
    <row r="71" customFormat="false" ht="15" hidden="false" customHeight="false" outlineLevel="0" collapsed="false">
      <c r="A71" s="14" t="n">
        <v>70</v>
      </c>
      <c r="B71" s="14" t="s">
        <v>296</v>
      </c>
      <c r="C71" s="14" t="s">
        <v>297</v>
      </c>
      <c r="D71" s="14" t="s">
        <v>116</v>
      </c>
      <c r="E71" s="14" t="s">
        <v>96</v>
      </c>
      <c r="F71" s="14" t="s">
        <v>147</v>
      </c>
      <c r="G71" s="21" t="n">
        <v>45242</v>
      </c>
      <c r="H71" s="14" t="s">
        <v>148</v>
      </c>
      <c r="I71" s="14" t="s">
        <v>165</v>
      </c>
      <c r="J71" s="14" t="s">
        <v>154</v>
      </c>
      <c r="K71" s="22" t="n">
        <v>1670000</v>
      </c>
      <c r="L71" s="15" t="n">
        <f aca="false">IF(K71&lt;=2*Parametros_Legales!$C$5,Parametros_Legales!$C$6,0)</f>
        <v>200000</v>
      </c>
      <c r="M71" s="15" t="n">
        <f aca="false">K71*Parametros_Legales!$C$7</f>
        <v>66800</v>
      </c>
      <c r="N71" s="15" t="n">
        <f aca="false">K71*(Parametros_Legales!$C$9+IF(K71&gt;=4*Parametros_Legales!$C$5,Parametros_Legales!$C$11,0))</f>
        <v>66800</v>
      </c>
      <c r="O71" s="15" t="n">
        <f aca="false">M71+N71</f>
        <v>133600</v>
      </c>
      <c r="P71" s="15" t="n">
        <f aca="false">K71+L71-O71</f>
        <v>1736400</v>
      </c>
      <c r="Q71" s="15" t="n">
        <f aca="false">IF(K71&lt;Parametros_Legales!$C$15,0,K71*Parametros_Legales!$C$8)</f>
        <v>0</v>
      </c>
      <c r="R71" s="15" t="n">
        <f aca="false">K71*Parametros_Legales!$C$10</f>
        <v>200400</v>
      </c>
      <c r="S71" s="15" t="n">
        <f aca="false">K71*Parametros_Legales!$C$12</f>
        <v>66800</v>
      </c>
      <c r="T71" s="15" t="n">
        <f aca="false">K71*Parametros_Legales!$C$16</f>
        <v>139111</v>
      </c>
      <c r="U71" s="15" t="n">
        <f aca="false">K71*Parametros_Legales!$C$18</f>
        <v>139111</v>
      </c>
      <c r="V71" s="15" t="n">
        <f aca="false">K71*Parametros_Legales!$C$19</f>
        <v>69639</v>
      </c>
      <c r="W71" s="15" t="n">
        <f aca="false">K71+L71+Q71+R71+S71+T71+U71+V71</f>
        <v>2485061</v>
      </c>
    </row>
    <row r="72" customFormat="false" ht="15" hidden="false" customHeight="false" outlineLevel="0" collapsed="false">
      <c r="A72" s="16" t="n">
        <v>71</v>
      </c>
      <c r="B72" s="16" t="s">
        <v>298</v>
      </c>
      <c r="C72" s="16" t="s">
        <v>299</v>
      </c>
      <c r="D72" s="16" t="s">
        <v>116</v>
      </c>
      <c r="E72" s="16" t="s">
        <v>96</v>
      </c>
      <c r="F72" s="16" t="s">
        <v>147</v>
      </c>
      <c r="G72" s="19" t="n">
        <v>45045</v>
      </c>
      <c r="H72" s="16" t="s">
        <v>148</v>
      </c>
      <c r="I72" s="16" t="s">
        <v>149</v>
      </c>
      <c r="J72" s="16" t="s">
        <v>158</v>
      </c>
      <c r="K72" s="20" t="n">
        <v>1600000</v>
      </c>
      <c r="L72" s="17" t="n">
        <f aca="false">IF(K72&lt;=2*Parametros_Legales!$C$5,Parametros_Legales!$C$6,0)</f>
        <v>200000</v>
      </c>
      <c r="M72" s="17" t="n">
        <f aca="false">K72*Parametros_Legales!$C$7</f>
        <v>64000</v>
      </c>
      <c r="N72" s="17" t="n">
        <f aca="false">K72*(Parametros_Legales!$C$9+IF(K72&gt;=4*Parametros_Legales!$C$5,Parametros_Legales!$C$11,0))</f>
        <v>64000</v>
      </c>
      <c r="O72" s="17" t="n">
        <f aca="false">M72+N72</f>
        <v>128000</v>
      </c>
      <c r="P72" s="17" t="n">
        <f aca="false">K72+L72-O72</f>
        <v>1672000</v>
      </c>
      <c r="Q72" s="17" t="n">
        <f aca="false">IF(K72&lt;Parametros_Legales!$C$15,0,K72*Parametros_Legales!$C$8)</f>
        <v>0</v>
      </c>
      <c r="R72" s="17" t="n">
        <f aca="false">K72*Parametros_Legales!$C$10</f>
        <v>192000</v>
      </c>
      <c r="S72" s="17" t="n">
        <f aca="false">K72*Parametros_Legales!$C$12</f>
        <v>64000</v>
      </c>
      <c r="T72" s="17" t="n">
        <f aca="false">K72*Parametros_Legales!$C$16</f>
        <v>133280</v>
      </c>
      <c r="U72" s="17" t="n">
        <f aca="false">K72*Parametros_Legales!$C$18</f>
        <v>133280</v>
      </c>
      <c r="V72" s="17" t="n">
        <f aca="false">K72*Parametros_Legales!$C$19</f>
        <v>66720</v>
      </c>
      <c r="W72" s="17" t="n">
        <f aca="false">K72+L72+Q72+R72+S72+T72+U72+V72</f>
        <v>2389280</v>
      </c>
    </row>
    <row r="73" customFormat="false" ht="15" hidden="false" customHeight="false" outlineLevel="0" collapsed="false">
      <c r="A73" s="14" t="n">
        <v>72</v>
      </c>
      <c r="B73" s="14" t="s">
        <v>300</v>
      </c>
      <c r="C73" s="14" t="s">
        <v>301</v>
      </c>
      <c r="D73" s="14" t="s">
        <v>116</v>
      </c>
      <c r="E73" s="14" t="s">
        <v>96</v>
      </c>
      <c r="F73" s="14" t="s">
        <v>147</v>
      </c>
      <c r="G73" s="21" t="n">
        <v>45500</v>
      </c>
      <c r="H73" s="14" t="s">
        <v>148</v>
      </c>
      <c r="I73" s="14" t="s">
        <v>153</v>
      </c>
      <c r="J73" s="14" t="s">
        <v>162</v>
      </c>
      <c r="K73" s="22" t="n">
        <v>1510000</v>
      </c>
      <c r="L73" s="15" t="n">
        <f aca="false">IF(K73&lt;=2*Parametros_Legales!$C$5,Parametros_Legales!$C$6,0)</f>
        <v>200000</v>
      </c>
      <c r="M73" s="15" t="n">
        <f aca="false">K73*Parametros_Legales!$C$7</f>
        <v>60400</v>
      </c>
      <c r="N73" s="15" t="n">
        <f aca="false">K73*(Parametros_Legales!$C$9+IF(K73&gt;=4*Parametros_Legales!$C$5,Parametros_Legales!$C$11,0))</f>
        <v>60400</v>
      </c>
      <c r="O73" s="15" t="n">
        <f aca="false">M73+N73</f>
        <v>120800</v>
      </c>
      <c r="P73" s="15" t="n">
        <f aca="false">K73+L73-O73</f>
        <v>1589200</v>
      </c>
      <c r="Q73" s="15" t="n">
        <f aca="false">IF(K73&lt;Parametros_Legales!$C$15,0,K73*Parametros_Legales!$C$8)</f>
        <v>0</v>
      </c>
      <c r="R73" s="15" t="n">
        <f aca="false">K73*Parametros_Legales!$C$10</f>
        <v>181200</v>
      </c>
      <c r="S73" s="15" t="n">
        <f aca="false">K73*Parametros_Legales!$C$12</f>
        <v>60400</v>
      </c>
      <c r="T73" s="15" t="n">
        <f aca="false">K73*Parametros_Legales!$C$16</f>
        <v>125783</v>
      </c>
      <c r="U73" s="15" t="n">
        <f aca="false">K73*Parametros_Legales!$C$18</f>
        <v>125783</v>
      </c>
      <c r="V73" s="15" t="n">
        <f aca="false">K73*Parametros_Legales!$C$19</f>
        <v>62967</v>
      </c>
      <c r="W73" s="15" t="n">
        <f aca="false">K73+L73+Q73+R73+S73+T73+U73+V73</f>
        <v>2266133</v>
      </c>
    </row>
    <row r="74" customFormat="false" ht="15" hidden="false" customHeight="false" outlineLevel="0" collapsed="false">
      <c r="A74" s="16" t="n">
        <v>73</v>
      </c>
      <c r="B74" s="16" t="s">
        <v>302</v>
      </c>
      <c r="C74" s="16" t="s">
        <v>303</v>
      </c>
      <c r="D74" s="16" t="s">
        <v>116</v>
      </c>
      <c r="E74" s="16" t="s">
        <v>96</v>
      </c>
      <c r="F74" s="16" t="s">
        <v>147</v>
      </c>
      <c r="G74" s="19" t="n">
        <v>44512</v>
      </c>
      <c r="H74" s="16" t="s">
        <v>148</v>
      </c>
      <c r="I74" s="16" t="s">
        <v>157</v>
      </c>
      <c r="J74" s="16" t="s">
        <v>150</v>
      </c>
      <c r="K74" s="20" t="n">
        <v>1500000</v>
      </c>
      <c r="L74" s="17" t="n">
        <f aca="false">IF(K74&lt;=2*Parametros_Legales!$C$5,Parametros_Legales!$C$6,0)</f>
        <v>200000</v>
      </c>
      <c r="M74" s="17" t="n">
        <f aca="false">K74*Parametros_Legales!$C$7</f>
        <v>60000</v>
      </c>
      <c r="N74" s="17" t="n">
        <f aca="false">K74*(Parametros_Legales!$C$9+IF(K74&gt;=4*Parametros_Legales!$C$5,Parametros_Legales!$C$11,0))</f>
        <v>60000</v>
      </c>
      <c r="O74" s="17" t="n">
        <f aca="false">M74+N74</f>
        <v>120000</v>
      </c>
      <c r="P74" s="17" t="n">
        <f aca="false">K74+L74-O74</f>
        <v>1580000</v>
      </c>
      <c r="Q74" s="17" t="n">
        <f aca="false">IF(K74&lt;Parametros_Legales!$C$15,0,K74*Parametros_Legales!$C$8)</f>
        <v>0</v>
      </c>
      <c r="R74" s="17" t="n">
        <f aca="false">K74*Parametros_Legales!$C$10</f>
        <v>180000</v>
      </c>
      <c r="S74" s="17" t="n">
        <f aca="false">K74*Parametros_Legales!$C$12</f>
        <v>60000</v>
      </c>
      <c r="T74" s="17" t="n">
        <f aca="false">K74*Parametros_Legales!$C$16</f>
        <v>124950</v>
      </c>
      <c r="U74" s="17" t="n">
        <f aca="false">K74*Parametros_Legales!$C$18</f>
        <v>124950</v>
      </c>
      <c r="V74" s="17" t="n">
        <f aca="false">K74*Parametros_Legales!$C$19</f>
        <v>62550</v>
      </c>
      <c r="W74" s="17" t="n">
        <f aca="false">K74+L74+Q74+R74+S74+T74+U74+V74</f>
        <v>2252450</v>
      </c>
    </row>
    <row r="75" customFormat="false" ht="15" hidden="false" customHeight="false" outlineLevel="0" collapsed="false">
      <c r="A75" s="14" t="n">
        <v>74</v>
      </c>
      <c r="B75" s="14" t="s">
        <v>304</v>
      </c>
      <c r="C75" s="14" t="s">
        <v>305</v>
      </c>
      <c r="D75" s="14" t="s">
        <v>117</v>
      </c>
      <c r="E75" s="14" t="s">
        <v>96</v>
      </c>
      <c r="F75" s="14" t="s">
        <v>306</v>
      </c>
      <c r="G75" s="21" t="n">
        <v>45003</v>
      </c>
      <c r="H75" s="14" t="s">
        <v>148</v>
      </c>
      <c r="I75" s="14" t="s">
        <v>161</v>
      </c>
      <c r="J75" s="14" t="s">
        <v>154</v>
      </c>
      <c r="K75" s="22" t="n">
        <v>1423500</v>
      </c>
      <c r="L75" s="15" t="n">
        <f aca="false">IF(K75&lt;=2*Parametros_Legales!$C$5,Parametros_Legales!$C$6,0)</f>
        <v>200000</v>
      </c>
      <c r="M75" s="15" t="n">
        <f aca="false">K75*Parametros_Legales!$C$7</f>
        <v>56940</v>
      </c>
      <c r="N75" s="15" t="n">
        <f aca="false">K75*(Parametros_Legales!$C$9+IF(K75&gt;=4*Parametros_Legales!$C$5,Parametros_Legales!$C$11,0))</f>
        <v>56940</v>
      </c>
      <c r="O75" s="15" t="n">
        <f aca="false">M75+N75</f>
        <v>113880</v>
      </c>
      <c r="P75" s="15" t="n">
        <f aca="false">K75+L75-O75</f>
        <v>1509620</v>
      </c>
      <c r="Q75" s="15" t="n">
        <f aca="false">IF(K75&lt;Parametros_Legales!$C$15,0,K75*Parametros_Legales!$C$8)</f>
        <v>0</v>
      </c>
      <c r="R75" s="15" t="n">
        <f aca="false">K75*Parametros_Legales!$C$10</f>
        <v>170820</v>
      </c>
      <c r="S75" s="15" t="n">
        <f aca="false">K75*Parametros_Legales!$C$12</f>
        <v>56940</v>
      </c>
      <c r="T75" s="15" t="n">
        <f aca="false">K75*Parametros_Legales!$C$16</f>
        <v>118577.55</v>
      </c>
      <c r="U75" s="15" t="n">
        <f aca="false">K75*Parametros_Legales!$C$18</f>
        <v>118577.55</v>
      </c>
      <c r="V75" s="15" t="n">
        <f aca="false">K75*Parametros_Legales!$C$19</f>
        <v>59359.95</v>
      </c>
      <c r="W75" s="15" t="n">
        <f aca="false">K75+L75+Q75+R75+S75+T75+U75+V75</f>
        <v>2147775.05</v>
      </c>
    </row>
    <row r="76" customFormat="false" ht="15" hidden="false" customHeight="false" outlineLevel="0" collapsed="false">
      <c r="A76" s="16" t="n">
        <v>75</v>
      </c>
      <c r="B76" s="16" t="s">
        <v>307</v>
      </c>
      <c r="C76" s="16" t="s">
        <v>308</v>
      </c>
      <c r="D76" s="16" t="s">
        <v>117</v>
      </c>
      <c r="E76" s="16" t="s">
        <v>96</v>
      </c>
      <c r="F76" s="16" t="s">
        <v>306</v>
      </c>
      <c r="G76" s="19" t="n">
        <v>45573</v>
      </c>
      <c r="H76" s="16" t="s">
        <v>148</v>
      </c>
      <c r="I76" s="16" t="s">
        <v>165</v>
      </c>
      <c r="J76" s="16" t="s">
        <v>158</v>
      </c>
      <c r="K76" s="20" t="n">
        <v>1423500</v>
      </c>
      <c r="L76" s="17" t="n">
        <f aca="false">IF(K76&lt;=2*Parametros_Legales!$C$5,Parametros_Legales!$C$6,0)</f>
        <v>200000</v>
      </c>
      <c r="M76" s="17" t="n">
        <f aca="false">K76*Parametros_Legales!$C$7</f>
        <v>56940</v>
      </c>
      <c r="N76" s="17" t="n">
        <f aca="false">K76*(Parametros_Legales!$C$9+IF(K76&gt;=4*Parametros_Legales!$C$5,Parametros_Legales!$C$11,0))</f>
        <v>56940</v>
      </c>
      <c r="O76" s="17" t="n">
        <f aca="false">M76+N76</f>
        <v>113880</v>
      </c>
      <c r="P76" s="17" t="n">
        <f aca="false">K76+L76-O76</f>
        <v>1509620</v>
      </c>
      <c r="Q76" s="17" t="n">
        <f aca="false">IF(K76&lt;Parametros_Legales!$C$15,0,K76*Parametros_Legales!$C$8)</f>
        <v>0</v>
      </c>
      <c r="R76" s="17" t="n">
        <f aca="false">K76*Parametros_Legales!$C$10</f>
        <v>170820</v>
      </c>
      <c r="S76" s="17" t="n">
        <f aca="false">K76*Parametros_Legales!$C$12</f>
        <v>56940</v>
      </c>
      <c r="T76" s="17" t="n">
        <f aca="false">K76*Parametros_Legales!$C$16</f>
        <v>118577.55</v>
      </c>
      <c r="U76" s="17" t="n">
        <f aca="false">K76*Parametros_Legales!$C$18</f>
        <v>118577.55</v>
      </c>
      <c r="V76" s="17" t="n">
        <f aca="false">K76*Parametros_Legales!$C$19</f>
        <v>59359.95</v>
      </c>
      <c r="W76" s="17" t="n">
        <f aca="false">K76+L76+Q76+R76+S76+T76+U76+V76</f>
        <v>2147775.05</v>
      </c>
    </row>
    <row r="77" customFormat="false" ht="15" hidden="false" customHeight="false" outlineLevel="0" collapsed="false">
      <c r="A77" s="14" t="n">
        <v>76</v>
      </c>
      <c r="B77" s="14" t="s">
        <v>309</v>
      </c>
      <c r="C77" s="14" t="s">
        <v>310</v>
      </c>
      <c r="D77" s="14" t="s">
        <v>117</v>
      </c>
      <c r="E77" s="14" t="s">
        <v>96</v>
      </c>
      <c r="F77" s="14" t="s">
        <v>306</v>
      </c>
      <c r="G77" s="21" t="n">
        <v>45575</v>
      </c>
      <c r="H77" s="14" t="s">
        <v>148</v>
      </c>
      <c r="I77" s="14" t="s">
        <v>149</v>
      </c>
      <c r="J77" s="14" t="s">
        <v>162</v>
      </c>
      <c r="K77" s="22" t="n">
        <v>1423500</v>
      </c>
      <c r="L77" s="15" t="n">
        <f aca="false">IF(K77&lt;=2*Parametros_Legales!$C$5,Parametros_Legales!$C$6,0)</f>
        <v>200000</v>
      </c>
      <c r="M77" s="15" t="n">
        <f aca="false">K77*Parametros_Legales!$C$7</f>
        <v>56940</v>
      </c>
      <c r="N77" s="15" t="n">
        <f aca="false">K77*(Parametros_Legales!$C$9+IF(K77&gt;=4*Parametros_Legales!$C$5,Parametros_Legales!$C$11,0))</f>
        <v>56940</v>
      </c>
      <c r="O77" s="15" t="n">
        <f aca="false">M77+N77</f>
        <v>113880</v>
      </c>
      <c r="P77" s="15" t="n">
        <f aca="false">K77+L77-O77</f>
        <v>1509620</v>
      </c>
      <c r="Q77" s="15" t="n">
        <f aca="false">IF(K77&lt;Parametros_Legales!$C$15,0,K77*Parametros_Legales!$C$8)</f>
        <v>0</v>
      </c>
      <c r="R77" s="15" t="n">
        <f aca="false">K77*Parametros_Legales!$C$10</f>
        <v>170820</v>
      </c>
      <c r="S77" s="15" t="n">
        <f aca="false">K77*Parametros_Legales!$C$12</f>
        <v>56940</v>
      </c>
      <c r="T77" s="15" t="n">
        <f aca="false">K77*Parametros_Legales!$C$16</f>
        <v>118577.55</v>
      </c>
      <c r="U77" s="15" t="n">
        <f aca="false">K77*Parametros_Legales!$C$18</f>
        <v>118577.55</v>
      </c>
      <c r="V77" s="15" t="n">
        <f aca="false">K77*Parametros_Legales!$C$19</f>
        <v>59359.95</v>
      </c>
      <c r="W77" s="15" t="n">
        <f aca="false">K77+L77+Q77+R77+S77+T77+U77+V77</f>
        <v>2147775.05</v>
      </c>
    </row>
    <row r="78" customFormat="false" ht="15" hidden="false" customHeight="false" outlineLevel="0" collapsed="false">
      <c r="A78" s="16" t="n">
        <v>77</v>
      </c>
      <c r="B78" s="16" t="s">
        <v>311</v>
      </c>
      <c r="C78" s="16" t="s">
        <v>312</v>
      </c>
      <c r="D78" s="16" t="s">
        <v>117</v>
      </c>
      <c r="E78" s="16" t="s">
        <v>96</v>
      </c>
      <c r="F78" s="16" t="s">
        <v>306</v>
      </c>
      <c r="G78" s="19" t="n">
        <v>45797</v>
      </c>
      <c r="H78" s="16" t="s">
        <v>148</v>
      </c>
      <c r="I78" s="16" t="s">
        <v>153</v>
      </c>
      <c r="J78" s="16" t="s">
        <v>150</v>
      </c>
      <c r="K78" s="20" t="n">
        <v>1423500</v>
      </c>
      <c r="L78" s="17" t="n">
        <f aca="false">IF(K78&lt;=2*Parametros_Legales!$C$5,Parametros_Legales!$C$6,0)</f>
        <v>200000</v>
      </c>
      <c r="M78" s="17" t="n">
        <f aca="false">K78*Parametros_Legales!$C$7</f>
        <v>56940</v>
      </c>
      <c r="N78" s="17" t="n">
        <f aca="false">K78*(Parametros_Legales!$C$9+IF(K78&gt;=4*Parametros_Legales!$C$5,Parametros_Legales!$C$11,0))</f>
        <v>56940</v>
      </c>
      <c r="O78" s="17" t="n">
        <f aca="false">M78+N78</f>
        <v>113880</v>
      </c>
      <c r="P78" s="17" t="n">
        <f aca="false">K78+L78-O78</f>
        <v>1509620</v>
      </c>
      <c r="Q78" s="17" t="n">
        <f aca="false">IF(K78&lt;Parametros_Legales!$C$15,0,K78*Parametros_Legales!$C$8)</f>
        <v>0</v>
      </c>
      <c r="R78" s="17" t="n">
        <f aca="false">K78*Parametros_Legales!$C$10</f>
        <v>170820</v>
      </c>
      <c r="S78" s="17" t="n">
        <f aca="false">K78*Parametros_Legales!$C$12</f>
        <v>56940</v>
      </c>
      <c r="T78" s="17" t="n">
        <f aca="false">K78*Parametros_Legales!$C$16</f>
        <v>118577.55</v>
      </c>
      <c r="U78" s="17" t="n">
        <f aca="false">K78*Parametros_Legales!$C$18</f>
        <v>118577.55</v>
      </c>
      <c r="V78" s="17" t="n">
        <f aca="false">K78*Parametros_Legales!$C$19</f>
        <v>59359.95</v>
      </c>
      <c r="W78" s="17" t="n">
        <f aca="false">K78+L78+Q78+R78+S78+T78+U78+V78</f>
        <v>2147775.05</v>
      </c>
    </row>
    <row r="79" customFormat="false" ht="15" hidden="false" customHeight="false" outlineLevel="0" collapsed="false">
      <c r="A79" s="14" t="n">
        <v>78</v>
      </c>
      <c r="B79" s="14" t="s">
        <v>313</v>
      </c>
      <c r="C79" s="14" t="s">
        <v>314</v>
      </c>
      <c r="D79" s="14" t="s">
        <v>117</v>
      </c>
      <c r="E79" s="14" t="s">
        <v>96</v>
      </c>
      <c r="F79" s="14" t="s">
        <v>306</v>
      </c>
      <c r="G79" s="21" t="n">
        <v>45668</v>
      </c>
      <c r="H79" s="14" t="s">
        <v>148</v>
      </c>
      <c r="I79" s="14" t="s">
        <v>157</v>
      </c>
      <c r="J79" s="14" t="s">
        <v>154</v>
      </c>
      <c r="K79" s="22" t="n">
        <v>1423500</v>
      </c>
      <c r="L79" s="15" t="n">
        <f aca="false">IF(K79&lt;=2*Parametros_Legales!$C$5,Parametros_Legales!$C$6,0)</f>
        <v>200000</v>
      </c>
      <c r="M79" s="15" t="n">
        <f aca="false">K79*Parametros_Legales!$C$7</f>
        <v>56940</v>
      </c>
      <c r="N79" s="15" t="n">
        <f aca="false">K79*(Parametros_Legales!$C$9+IF(K79&gt;=4*Parametros_Legales!$C$5,Parametros_Legales!$C$11,0))</f>
        <v>56940</v>
      </c>
      <c r="O79" s="15" t="n">
        <f aca="false">M79+N79</f>
        <v>113880</v>
      </c>
      <c r="P79" s="15" t="n">
        <f aca="false">K79+L79-O79</f>
        <v>1509620</v>
      </c>
      <c r="Q79" s="15" t="n">
        <f aca="false">IF(K79&lt;Parametros_Legales!$C$15,0,K79*Parametros_Legales!$C$8)</f>
        <v>0</v>
      </c>
      <c r="R79" s="15" t="n">
        <f aca="false">K79*Parametros_Legales!$C$10</f>
        <v>170820</v>
      </c>
      <c r="S79" s="15" t="n">
        <f aca="false">K79*Parametros_Legales!$C$12</f>
        <v>56940</v>
      </c>
      <c r="T79" s="15" t="n">
        <f aca="false">K79*Parametros_Legales!$C$16</f>
        <v>118577.55</v>
      </c>
      <c r="U79" s="15" t="n">
        <f aca="false">K79*Parametros_Legales!$C$18</f>
        <v>118577.55</v>
      </c>
      <c r="V79" s="15" t="n">
        <f aca="false">K79*Parametros_Legales!$C$19</f>
        <v>59359.95</v>
      </c>
      <c r="W79" s="15" t="n">
        <f aca="false">K79+L79+Q79+R79+S79+T79+U79+V79</f>
        <v>2147775.05</v>
      </c>
    </row>
    <row r="80" customFormat="false" ht="15" hidden="false" customHeight="false" outlineLevel="0" collapsed="false">
      <c r="A80" s="16" t="n">
        <v>79</v>
      </c>
      <c r="B80" s="16" t="s">
        <v>315</v>
      </c>
      <c r="C80" s="16" t="s">
        <v>316</v>
      </c>
      <c r="D80" s="16" t="s">
        <v>117</v>
      </c>
      <c r="E80" s="16" t="s">
        <v>96</v>
      </c>
      <c r="F80" s="16" t="s">
        <v>306</v>
      </c>
      <c r="G80" s="19" t="n">
        <v>45394</v>
      </c>
      <c r="H80" s="16" t="s">
        <v>148</v>
      </c>
      <c r="I80" s="16" t="s">
        <v>161</v>
      </c>
      <c r="J80" s="16" t="s">
        <v>158</v>
      </c>
      <c r="K80" s="20" t="n">
        <v>1423500</v>
      </c>
      <c r="L80" s="17" t="n">
        <f aca="false">IF(K80&lt;=2*Parametros_Legales!$C$5,Parametros_Legales!$C$6,0)</f>
        <v>200000</v>
      </c>
      <c r="M80" s="17" t="n">
        <f aca="false">K80*Parametros_Legales!$C$7</f>
        <v>56940</v>
      </c>
      <c r="N80" s="17" t="n">
        <f aca="false">K80*(Parametros_Legales!$C$9+IF(K80&gt;=4*Parametros_Legales!$C$5,Parametros_Legales!$C$11,0))</f>
        <v>56940</v>
      </c>
      <c r="O80" s="17" t="n">
        <f aca="false">M80+N80</f>
        <v>113880</v>
      </c>
      <c r="P80" s="17" t="n">
        <f aca="false">K80+L80-O80</f>
        <v>1509620</v>
      </c>
      <c r="Q80" s="17" t="n">
        <f aca="false">IF(K80&lt;Parametros_Legales!$C$15,0,K80*Parametros_Legales!$C$8)</f>
        <v>0</v>
      </c>
      <c r="R80" s="17" t="n">
        <f aca="false">K80*Parametros_Legales!$C$10</f>
        <v>170820</v>
      </c>
      <c r="S80" s="17" t="n">
        <f aca="false">K80*Parametros_Legales!$C$12</f>
        <v>56940</v>
      </c>
      <c r="T80" s="17" t="n">
        <f aca="false">K80*Parametros_Legales!$C$16</f>
        <v>118577.55</v>
      </c>
      <c r="U80" s="17" t="n">
        <f aca="false">K80*Parametros_Legales!$C$18</f>
        <v>118577.55</v>
      </c>
      <c r="V80" s="17" t="n">
        <f aca="false">K80*Parametros_Legales!$C$19</f>
        <v>59359.95</v>
      </c>
      <c r="W80" s="17" t="n">
        <f aca="false">K80+L80+Q80+R80+S80+T80+U80+V80</f>
        <v>2147775.05</v>
      </c>
    </row>
    <row r="81" customFormat="false" ht="15" hidden="false" customHeight="false" outlineLevel="0" collapsed="false">
      <c r="A81" s="14" t="n">
        <v>80</v>
      </c>
      <c r="B81" s="14" t="s">
        <v>317</v>
      </c>
      <c r="C81" s="14" t="s">
        <v>318</v>
      </c>
      <c r="D81" s="14" t="s">
        <v>117</v>
      </c>
      <c r="E81" s="14" t="s">
        <v>96</v>
      </c>
      <c r="F81" s="14" t="s">
        <v>306</v>
      </c>
      <c r="G81" s="21" t="n">
        <v>45511</v>
      </c>
      <c r="H81" s="14" t="s">
        <v>148</v>
      </c>
      <c r="I81" s="14" t="s">
        <v>165</v>
      </c>
      <c r="J81" s="14" t="s">
        <v>162</v>
      </c>
      <c r="K81" s="22" t="n">
        <v>1423500</v>
      </c>
      <c r="L81" s="15" t="n">
        <f aca="false">IF(K81&lt;=2*Parametros_Legales!$C$5,Parametros_Legales!$C$6,0)</f>
        <v>200000</v>
      </c>
      <c r="M81" s="15" t="n">
        <f aca="false">K81*Parametros_Legales!$C$7</f>
        <v>56940</v>
      </c>
      <c r="N81" s="15" t="n">
        <f aca="false">K81*(Parametros_Legales!$C$9+IF(K81&gt;=4*Parametros_Legales!$C$5,Parametros_Legales!$C$11,0))</f>
        <v>56940</v>
      </c>
      <c r="O81" s="15" t="n">
        <f aca="false">M81+N81</f>
        <v>113880</v>
      </c>
      <c r="P81" s="15" t="n">
        <f aca="false">K81+L81-O81</f>
        <v>1509620</v>
      </c>
      <c r="Q81" s="15" t="n">
        <f aca="false">IF(K81&lt;Parametros_Legales!$C$15,0,K81*Parametros_Legales!$C$8)</f>
        <v>0</v>
      </c>
      <c r="R81" s="15" t="n">
        <f aca="false">K81*Parametros_Legales!$C$10</f>
        <v>170820</v>
      </c>
      <c r="S81" s="15" t="n">
        <f aca="false">K81*Parametros_Legales!$C$12</f>
        <v>56940</v>
      </c>
      <c r="T81" s="15" t="n">
        <f aca="false">K81*Parametros_Legales!$C$16</f>
        <v>118577.55</v>
      </c>
      <c r="U81" s="15" t="n">
        <f aca="false">K81*Parametros_Legales!$C$18</f>
        <v>118577.55</v>
      </c>
      <c r="V81" s="15" t="n">
        <f aca="false">K81*Parametros_Legales!$C$19</f>
        <v>59359.95</v>
      </c>
      <c r="W81" s="15" t="n">
        <f aca="false">K81+L81+Q81+R81+S81+T81+U81+V81</f>
        <v>2147775.05</v>
      </c>
    </row>
    <row r="82" customFormat="false" ht="15" hidden="false" customHeight="false" outlineLevel="0" collapsed="false">
      <c r="A82" s="16" t="n">
        <v>81</v>
      </c>
      <c r="B82" s="16" t="s">
        <v>319</v>
      </c>
      <c r="C82" s="16" t="s">
        <v>320</v>
      </c>
      <c r="D82" s="16" t="s">
        <v>117</v>
      </c>
      <c r="E82" s="16" t="s">
        <v>96</v>
      </c>
      <c r="F82" s="16" t="s">
        <v>306</v>
      </c>
      <c r="G82" s="19" t="n">
        <v>45370</v>
      </c>
      <c r="H82" s="16" t="s">
        <v>148</v>
      </c>
      <c r="I82" s="16" t="s">
        <v>149</v>
      </c>
      <c r="J82" s="16" t="s">
        <v>150</v>
      </c>
      <c r="K82" s="20" t="n">
        <v>1423500</v>
      </c>
      <c r="L82" s="17" t="n">
        <f aca="false">IF(K82&lt;=2*Parametros_Legales!$C$5,Parametros_Legales!$C$6,0)</f>
        <v>200000</v>
      </c>
      <c r="M82" s="17" t="n">
        <f aca="false">K82*Parametros_Legales!$C$7</f>
        <v>56940</v>
      </c>
      <c r="N82" s="17" t="n">
        <f aca="false">K82*(Parametros_Legales!$C$9+IF(K82&gt;=4*Parametros_Legales!$C$5,Parametros_Legales!$C$11,0))</f>
        <v>56940</v>
      </c>
      <c r="O82" s="17" t="n">
        <f aca="false">M82+N82</f>
        <v>113880</v>
      </c>
      <c r="P82" s="17" t="n">
        <f aca="false">K82+L82-O82</f>
        <v>1509620</v>
      </c>
      <c r="Q82" s="17" t="n">
        <f aca="false">IF(K82&lt;Parametros_Legales!$C$15,0,K82*Parametros_Legales!$C$8)</f>
        <v>0</v>
      </c>
      <c r="R82" s="17" t="n">
        <f aca="false">K82*Parametros_Legales!$C$10</f>
        <v>170820</v>
      </c>
      <c r="S82" s="17" t="n">
        <f aca="false">K82*Parametros_Legales!$C$12</f>
        <v>56940</v>
      </c>
      <c r="T82" s="17" t="n">
        <f aca="false">K82*Parametros_Legales!$C$16</f>
        <v>118577.55</v>
      </c>
      <c r="U82" s="17" t="n">
        <f aca="false">K82*Parametros_Legales!$C$18</f>
        <v>118577.55</v>
      </c>
      <c r="V82" s="17" t="n">
        <f aca="false">K82*Parametros_Legales!$C$19</f>
        <v>59359.95</v>
      </c>
      <c r="W82" s="17" t="n">
        <f aca="false">K82+L82+Q82+R82+S82+T82+U82+V82</f>
        <v>2147775.05</v>
      </c>
    </row>
    <row r="83" customFormat="false" ht="15" hidden="false" customHeight="false" outlineLevel="0" collapsed="false">
      <c r="A83" s="14" t="n">
        <v>82</v>
      </c>
      <c r="B83" s="14" t="s">
        <v>321</v>
      </c>
      <c r="C83" s="14" t="s">
        <v>322</v>
      </c>
      <c r="D83" s="14" t="s">
        <v>117</v>
      </c>
      <c r="E83" s="14" t="s">
        <v>96</v>
      </c>
      <c r="F83" s="14" t="s">
        <v>306</v>
      </c>
      <c r="G83" s="21" t="n">
        <v>45095</v>
      </c>
      <c r="H83" s="14" t="s">
        <v>148</v>
      </c>
      <c r="I83" s="14" t="s">
        <v>153</v>
      </c>
      <c r="J83" s="14" t="s">
        <v>154</v>
      </c>
      <c r="K83" s="22" t="n">
        <v>1423500</v>
      </c>
      <c r="L83" s="15" t="n">
        <f aca="false">IF(K83&lt;=2*Parametros_Legales!$C$5,Parametros_Legales!$C$6,0)</f>
        <v>200000</v>
      </c>
      <c r="M83" s="15" t="n">
        <f aca="false">K83*Parametros_Legales!$C$7</f>
        <v>56940</v>
      </c>
      <c r="N83" s="15" t="n">
        <f aca="false">K83*(Parametros_Legales!$C$9+IF(K83&gt;=4*Parametros_Legales!$C$5,Parametros_Legales!$C$11,0))</f>
        <v>56940</v>
      </c>
      <c r="O83" s="15" t="n">
        <f aca="false">M83+N83</f>
        <v>113880</v>
      </c>
      <c r="P83" s="15" t="n">
        <f aca="false">K83+L83-O83</f>
        <v>1509620</v>
      </c>
      <c r="Q83" s="15" t="n">
        <f aca="false">IF(K83&lt;Parametros_Legales!$C$15,0,K83*Parametros_Legales!$C$8)</f>
        <v>0</v>
      </c>
      <c r="R83" s="15" t="n">
        <f aca="false">K83*Parametros_Legales!$C$10</f>
        <v>170820</v>
      </c>
      <c r="S83" s="15" t="n">
        <f aca="false">K83*Parametros_Legales!$C$12</f>
        <v>56940</v>
      </c>
      <c r="T83" s="15" t="n">
        <f aca="false">K83*Parametros_Legales!$C$16</f>
        <v>118577.55</v>
      </c>
      <c r="U83" s="15" t="n">
        <f aca="false">K83*Parametros_Legales!$C$18</f>
        <v>118577.55</v>
      </c>
      <c r="V83" s="15" t="n">
        <f aca="false">K83*Parametros_Legales!$C$19</f>
        <v>59359.95</v>
      </c>
      <c r="W83" s="15" t="n">
        <f aca="false">K83+L83+Q83+R83+S83+T83+U83+V83</f>
        <v>2147775.05</v>
      </c>
    </row>
    <row r="84" customFormat="false" ht="15" hidden="false" customHeight="false" outlineLevel="0" collapsed="false">
      <c r="A84" s="16" t="n">
        <v>83</v>
      </c>
      <c r="B84" s="16" t="s">
        <v>323</v>
      </c>
      <c r="C84" s="16" t="s">
        <v>324</v>
      </c>
      <c r="D84" s="16" t="s">
        <v>117</v>
      </c>
      <c r="E84" s="16" t="s">
        <v>96</v>
      </c>
      <c r="F84" s="16" t="s">
        <v>306</v>
      </c>
      <c r="G84" s="19" t="n">
        <v>45162</v>
      </c>
      <c r="H84" s="16" t="s">
        <v>148</v>
      </c>
      <c r="I84" s="16" t="s">
        <v>157</v>
      </c>
      <c r="J84" s="16" t="s">
        <v>158</v>
      </c>
      <c r="K84" s="20" t="n">
        <v>1423500</v>
      </c>
      <c r="L84" s="17" t="n">
        <f aca="false">IF(K84&lt;=2*Parametros_Legales!$C$5,Parametros_Legales!$C$6,0)</f>
        <v>200000</v>
      </c>
      <c r="M84" s="17" t="n">
        <f aca="false">K84*Parametros_Legales!$C$7</f>
        <v>56940</v>
      </c>
      <c r="N84" s="17" t="n">
        <f aca="false">K84*(Parametros_Legales!$C$9+IF(K84&gt;=4*Parametros_Legales!$C$5,Parametros_Legales!$C$11,0))</f>
        <v>56940</v>
      </c>
      <c r="O84" s="17" t="n">
        <f aca="false">M84+N84</f>
        <v>113880</v>
      </c>
      <c r="P84" s="17" t="n">
        <f aca="false">K84+L84-O84</f>
        <v>1509620</v>
      </c>
      <c r="Q84" s="17" t="n">
        <f aca="false">IF(K84&lt;Parametros_Legales!$C$15,0,K84*Parametros_Legales!$C$8)</f>
        <v>0</v>
      </c>
      <c r="R84" s="17" t="n">
        <f aca="false">K84*Parametros_Legales!$C$10</f>
        <v>170820</v>
      </c>
      <c r="S84" s="17" t="n">
        <f aca="false">K84*Parametros_Legales!$C$12</f>
        <v>56940</v>
      </c>
      <c r="T84" s="17" t="n">
        <f aca="false">K84*Parametros_Legales!$C$16</f>
        <v>118577.55</v>
      </c>
      <c r="U84" s="17" t="n">
        <f aca="false">K84*Parametros_Legales!$C$18</f>
        <v>118577.55</v>
      </c>
      <c r="V84" s="17" t="n">
        <f aca="false">K84*Parametros_Legales!$C$19</f>
        <v>59359.95</v>
      </c>
      <c r="W84" s="17" t="n">
        <f aca="false">K84+L84+Q84+R84+S84+T84+U84+V84</f>
        <v>2147775.05</v>
      </c>
    </row>
    <row r="85" customFormat="false" ht="15" hidden="false" customHeight="false" outlineLevel="0" collapsed="false">
      <c r="A85" s="14" t="n">
        <v>84</v>
      </c>
      <c r="B85" s="14" t="s">
        <v>325</v>
      </c>
      <c r="C85" s="14" t="s">
        <v>326</v>
      </c>
      <c r="D85" s="14" t="s">
        <v>117</v>
      </c>
      <c r="E85" s="14" t="s">
        <v>96</v>
      </c>
      <c r="F85" s="14" t="s">
        <v>306</v>
      </c>
      <c r="G85" s="21" t="n">
        <v>45483</v>
      </c>
      <c r="H85" s="14" t="s">
        <v>148</v>
      </c>
      <c r="I85" s="14" t="s">
        <v>161</v>
      </c>
      <c r="J85" s="14" t="s">
        <v>162</v>
      </c>
      <c r="K85" s="22" t="n">
        <v>1423500</v>
      </c>
      <c r="L85" s="15" t="n">
        <f aca="false">IF(K85&lt;=2*Parametros_Legales!$C$5,Parametros_Legales!$C$6,0)</f>
        <v>200000</v>
      </c>
      <c r="M85" s="15" t="n">
        <f aca="false">K85*Parametros_Legales!$C$7</f>
        <v>56940</v>
      </c>
      <c r="N85" s="15" t="n">
        <f aca="false">K85*(Parametros_Legales!$C$9+IF(K85&gt;=4*Parametros_Legales!$C$5,Parametros_Legales!$C$11,0))</f>
        <v>56940</v>
      </c>
      <c r="O85" s="15" t="n">
        <f aca="false">M85+N85</f>
        <v>113880</v>
      </c>
      <c r="P85" s="15" t="n">
        <f aca="false">K85+L85-O85</f>
        <v>1509620</v>
      </c>
      <c r="Q85" s="15" t="n">
        <f aca="false">IF(K85&lt;Parametros_Legales!$C$15,0,K85*Parametros_Legales!$C$8)</f>
        <v>0</v>
      </c>
      <c r="R85" s="15" t="n">
        <f aca="false">K85*Parametros_Legales!$C$10</f>
        <v>170820</v>
      </c>
      <c r="S85" s="15" t="n">
        <f aca="false">K85*Parametros_Legales!$C$12</f>
        <v>56940</v>
      </c>
      <c r="T85" s="15" t="n">
        <f aca="false">K85*Parametros_Legales!$C$16</f>
        <v>118577.55</v>
      </c>
      <c r="U85" s="15" t="n">
        <f aca="false">K85*Parametros_Legales!$C$18</f>
        <v>118577.55</v>
      </c>
      <c r="V85" s="15" t="n">
        <f aca="false">K85*Parametros_Legales!$C$19</f>
        <v>59359.95</v>
      </c>
      <c r="W85" s="15" t="n">
        <f aca="false">K85+L85+Q85+R85+S85+T85+U85+V85</f>
        <v>2147775.05</v>
      </c>
    </row>
    <row r="86" customFormat="false" ht="15" hidden="false" customHeight="false" outlineLevel="0" collapsed="false">
      <c r="A86" s="16" t="n">
        <v>85</v>
      </c>
      <c r="B86" s="16" t="s">
        <v>327</v>
      </c>
      <c r="C86" s="16" t="s">
        <v>328</v>
      </c>
      <c r="D86" s="16" t="s">
        <v>117</v>
      </c>
      <c r="E86" s="16" t="s">
        <v>96</v>
      </c>
      <c r="F86" s="16" t="s">
        <v>306</v>
      </c>
      <c r="G86" s="19" t="n">
        <v>45307</v>
      </c>
      <c r="H86" s="16" t="s">
        <v>148</v>
      </c>
      <c r="I86" s="16" t="s">
        <v>165</v>
      </c>
      <c r="J86" s="16" t="s">
        <v>150</v>
      </c>
      <c r="K86" s="20" t="n">
        <v>1423500</v>
      </c>
      <c r="L86" s="17" t="n">
        <f aca="false">IF(K86&lt;=2*Parametros_Legales!$C$5,Parametros_Legales!$C$6,0)</f>
        <v>200000</v>
      </c>
      <c r="M86" s="17" t="n">
        <f aca="false">K86*Parametros_Legales!$C$7</f>
        <v>56940</v>
      </c>
      <c r="N86" s="17" t="n">
        <f aca="false">K86*(Parametros_Legales!$C$9+IF(K86&gt;=4*Parametros_Legales!$C$5,Parametros_Legales!$C$11,0))</f>
        <v>56940</v>
      </c>
      <c r="O86" s="17" t="n">
        <f aca="false">M86+N86</f>
        <v>113880</v>
      </c>
      <c r="P86" s="17" t="n">
        <f aca="false">K86+L86-O86</f>
        <v>1509620</v>
      </c>
      <c r="Q86" s="17" t="n">
        <f aca="false">IF(K86&lt;Parametros_Legales!$C$15,0,K86*Parametros_Legales!$C$8)</f>
        <v>0</v>
      </c>
      <c r="R86" s="17" t="n">
        <f aca="false">K86*Parametros_Legales!$C$10</f>
        <v>170820</v>
      </c>
      <c r="S86" s="17" t="n">
        <f aca="false">K86*Parametros_Legales!$C$12</f>
        <v>56940</v>
      </c>
      <c r="T86" s="17" t="n">
        <f aca="false">K86*Parametros_Legales!$C$16</f>
        <v>118577.55</v>
      </c>
      <c r="U86" s="17" t="n">
        <f aca="false">K86*Parametros_Legales!$C$18</f>
        <v>118577.55</v>
      </c>
      <c r="V86" s="17" t="n">
        <f aca="false">K86*Parametros_Legales!$C$19</f>
        <v>59359.95</v>
      </c>
      <c r="W86" s="17" t="n">
        <f aca="false">K86+L86+Q86+R86+S86+T86+U86+V86</f>
        <v>2147775.05</v>
      </c>
    </row>
    <row r="87" customFormat="false" ht="15" hidden="false" customHeight="false" outlineLevel="0" collapsed="false">
      <c r="A87" s="14" t="n">
        <v>86</v>
      </c>
      <c r="B87" s="14" t="s">
        <v>329</v>
      </c>
      <c r="C87" s="14" t="s">
        <v>330</v>
      </c>
      <c r="D87" s="14" t="s">
        <v>117</v>
      </c>
      <c r="E87" s="14" t="s">
        <v>96</v>
      </c>
      <c r="F87" s="14" t="s">
        <v>306</v>
      </c>
      <c r="G87" s="21" t="n">
        <v>45822</v>
      </c>
      <c r="H87" s="14" t="s">
        <v>148</v>
      </c>
      <c r="I87" s="14" t="s">
        <v>149</v>
      </c>
      <c r="J87" s="14" t="s">
        <v>154</v>
      </c>
      <c r="K87" s="22" t="n">
        <v>1423500</v>
      </c>
      <c r="L87" s="15" t="n">
        <f aca="false">IF(K87&lt;=2*Parametros_Legales!$C$5,Parametros_Legales!$C$6,0)</f>
        <v>200000</v>
      </c>
      <c r="M87" s="15" t="n">
        <f aca="false">K87*Parametros_Legales!$C$7</f>
        <v>56940</v>
      </c>
      <c r="N87" s="15" t="n">
        <f aca="false">K87*(Parametros_Legales!$C$9+IF(K87&gt;=4*Parametros_Legales!$C$5,Parametros_Legales!$C$11,0))</f>
        <v>56940</v>
      </c>
      <c r="O87" s="15" t="n">
        <f aca="false">M87+N87</f>
        <v>113880</v>
      </c>
      <c r="P87" s="15" t="n">
        <f aca="false">K87+L87-O87</f>
        <v>1509620</v>
      </c>
      <c r="Q87" s="15" t="n">
        <f aca="false">IF(K87&lt;Parametros_Legales!$C$15,0,K87*Parametros_Legales!$C$8)</f>
        <v>0</v>
      </c>
      <c r="R87" s="15" t="n">
        <f aca="false">K87*Parametros_Legales!$C$10</f>
        <v>170820</v>
      </c>
      <c r="S87" s="15" t="n">
        <f aca="false">K87*Parametros_Legales!$C$12</f>
        <v>56940</v>
      </c>
      <c r="T87" s="15" t="n">
        <f aca="false">K87*Parametros_Legales!$C$16</f>
        <v>118577.55</v>
      </c>
      <c r="U87" s="15" t="n">
        <f aca="false">K87*Parametros_Legales!$C$18</f>
        <v>118577.55</v>
      </c>
      <c r="V87" s="15" t="n">
        <f aca="false">K87*Parametros_Legales!$C$19</f>
        <v>59359.95</v>
      </c>
      <c r="W87" s="15" t="n">
        <f aca="false">K87+L87+Q87+R87+S87+T87+U87+V87</f>
        <v>2147775.05</v>
      </c>
    </row>
    <row r="88" customFormat="false" ht="15" hidden="false" customHeight="false" outlineLevel="0" collapsed="false">
      <c r="A88" s="16" t="n">
        <v>87</v>
      </c>
      <c r="B88" s="16" t="s">
        <v>331</v>
      </c>
      <c r="C88" s="16" t="s">
        <v>332</v>
      </c>
      <c r="D88" s="16" t="s">
        <v>117</v>
      </c>
      <c r="E88" s="16" t="s">
        <v>96</v>
      </c>
      <c r="F88" s="16" t="s">
        <v>306</v>
      </c>
      <c r="G88" s="19" t="n">
        <v>45800</v>
      </c>
      <c r="H88" s="16" t="s">
        <v>148</v>
      </c>
      <c r="I88" s="16" t="s">
        <v>153</v>
      </c>
      <c r="J88" s="16" t="s">
        <v>158</v>
      </c>
      <c r="K88" s="20" t="n">
        <v>1423500</v>
      </c>
      <c r="L88" s="17" t="n">
        <f aca="false">IF(K88&lt;=2*Parametros_Legales!$C$5,Parametros_Legales!$C$6,0)</f>
        <v>200000</v>
      </c>
      <c r="M88" s="17" t="n">
        <f aca="false">K88*Parametros_Legales!$C$7</f>
        <v>56940</v>
      </c>
      <c r="N88" s="17" t="n">
        <f aca="false">K88*(Parametros_Legales!$C$9+IF(K88&gt;=4*Parametros_Legales!$C$5,Parametros_Legales!$C$11,0))</f>
        <v>56940</v>
      </c>
      <c r="O88" s="17" t="n">
        <f aca="false">M88+N88</f>
        <v>113880</v>
      </c>
      <c r="P88" s="17" t="n">
        <f aca="false">K88+L88-O88</f>
        <v>1509620</v>
      </c>
      <c r="Q88" s="17" t="n">
        <f aca="false">IF(K88&lt;Parametros_Legales!$C$15,0,K88*Parametros_Legales!$C$8)</f>
        <v>0</v>
      </c>
      <c r="R88" s="17" t="n">
        <f aca="false">K88*Parametros_Legales!$C$10</f>
        <v>170820</v>
      </c>
      <c r="S88" s="17" t="n">
        <f aca="false">K88*Parametros_Legales!$C$12</f>
        <v>56940</v>
      </c>
      <c r="T88" s="17" t="n">
        <f aca="false">K88*Parametros_Legales!$C$16</f>
        <v>118577.55</v>
      </c>
      <c r="U88" s="17" t="n">
        <f aca="false">K88*Parametros_Legales!$C$18</f>
        <v>118577.55</v>
      </c>
      <c r="V88" s="17" t="n">
        <f aca="false">K88*Parametros_Legales!$C$19</f>
        <v>59359.95</v>
      </c>
      <c r="W88" s="17" t="n">
        <f aca="false">K88+L88+Q88+R88+S88+T88+U88+V88</f>
        <v>2147775.05</v>
      </c>
    </row>
    <row r="89" customFormat="false" ht="15" hidden="false" customHeight="false" outlineLevel="0" collapsed="false">
      <c r="A89" s="14" t="n">
        <v>88</v>
      </c>
      <c r="B89" s="14" t="s">
        <v>333</v>
      </c>
      <c r="C89" s="14" t="s">
        <v>334</v>
      </c>
      <c r="D89" s="14" t="s">
        <v>117</v>
      </c>
      <c r="E89" s="14" t="s">
        <v>96</v>
      </c>
      <c r="F89" s="14" t="s">
        <v>306</v>
      </c>
      <c r="G89" s="21" t="n">
        <v>44985</v>
      </c>
      <c r="H89" s="14" t="s">
        <v>148</v>
      </c>
      <c r="I89" s="14" t="s">
        <v>157</v>
      </c>
      <c r="J89" s="14" t="s">
        <v>162</v>
      </c>
      <c r="K89" s="22" t="n">
        <v>1423500</v>
      </c>
      <c r="L89" s="15" t="n">
        <f aca="false">IF(K89&lt;=2*Parametros_Legales!$C$5,Parametros_Legales!$C$6,0)</f>
        <v>200000</v>
      </c>
      <c r="M89" s="15" t="n">
        <f aca="false">K89*Parametros_Legales!$C$7</f>
        <v>56940</v>
      </c>
      <c r="N89" s="15" t="n">
        <f aca="false">K89*(Parametros_Legales!$C$9+IF(K89&gt;=4*Parametros_Legales!$C$5,Parametros_Legales!$C$11,0))</f>
        <v>56940</v>
      </c>
      <c r="O89" s="15" t="n">
        <f aca="false">M89+N89</f>
        <v>113880</v>
      </c>
      <c r="P89" s="15" t="n">
        <f aca="false">K89+L89-O89</f>
        <v>1509620</v>
      </c>
      <c r="Q89" s="15" t="n">
        <f aca="false">IF(K89&lt;Parametros_Legales!$C$15,0,K89*Parametros_Legales!$C$8)</f>
        <v>0</v>
      </c>
      <c r="R89" s="15" t="n">
        <f aca="false">K89*Parametros_Legales!$C$10</f>
        <v>170820</v>
      </c>
      <c r="S89" s="15" t="n">
        <f aca="false">K89*Parametros_Legales!$C$12</f>
        <v>56940</v>
      </c>
      <c r="T89" s="15" t="n">
        <f aca="false">K89*Parametros_Legales!$C$16</f>
        <v>118577.55</v>
      </c>
      <c r="U89" s="15" t="n">
        <f aca="false">K89*Parametros_Legales!$C$18</f>
        <v>118577.55</v>
      </c>
      <c r="V89" s="15" t="n">
        <f aca="false">K89*Parametros_Legales!$C$19</f>
        <v>59359.95</v>
      </c>
      <c r="W89" s="15" t="n">
        <f aca="false">K89+L89+Q89+R89+S89+T89+U89+V89</f>
        <v>2147775.05</v>
      </c>
    </row>
    <row r="90" customFormat="false" ht="15" hidden="false" customHeight="false" outlineLevel="0" collapsed="false">
      <c r="A90" s="16" t="n">
        <v>89</v>
      </c>
      <c r="B90" s="16" t="s">
        <v>335</v>
      </c>
      <c r="C90" s="16" t="s">
        <v>336</v>
      </c>
      <c r="D90" s="16" t="s">
        <v>117</v>
      </c>
      <c r="E90" s="16" t="s">
        <v>96</v>
      </c>
      <c r="F90" s="16" t="s">
        <v>306</v>
      </c>
      <c r="G90" s="19" t="n">
        <v>45357</v>
      </c>
      <c r="H90" s="16" t="s">
        <v>148</v>
      </c>
      <c r="I90" s="16" t="s">
        <v>161</v>
      </c>
      <c r="J90" s="16" t="s">
        <v>150</v>
      </c>
      <c r="K90" s="20" t="n">
        <v>1423500</v>
      </c>
      <c r="L90" s="17" t="n">
        <f aca="false">IF(K90&lt;=2*Parametros_Legales!$C$5,Parametros_Legales!$C$6,0)</f>
        <v>200000</v>
      </c>
      <c r="M90" s="17" t="n">
        <f aca="false">K90*Parametros_Legales!$C$7</f>
        <v>56940</v>
      </c>
      <c r="N90" s="17" t="n">
        <f aca="false">K90*(Parametros_Legales!$C$9+IF(K90&gt;=4*Parametros_Legales!$C$5,Parametros_Legales!$C$11,0))</f>
        <v>56940</v>
      </c>
      <c r="O90" s="17" t="n">
        <f aca="false">M90+N90</f>
        <v>113880</v>
      </c>
      <c r="P90" s="17" t="n">
        <f aca="false">K90+L90-O90</f>
        <v>1509620</v>
      </c>
      <c r="Q90" s="17" t="n">
        <f aca="false">IF(K90&lt;Parametros_Legales!$C$15,0,K90*Parametros_Legales!$C$8)</f>
        <v>0</v>
      </c>
      <c r="R90" s="17" t="n">
        <f aca="false">K90*Parametros_Legales!$C$10</f>
        <v>170820</v>
      </c>
      <c r="S90" s="17" t="n">
        <f aca="false">K90*Parametros_Legales!$C$12</f>
        <v>56940</v>
      </c>
      <c r="T90" s="17" t="n">
        <f aca="false">K90*Parametros_Legales!$C$16</f>
        <v>118577.55</v>
      </c>
      <c r="U90" s="17" t="n">
        <f aca="false">K90*Parametros_Legales!$C$18</f>
        <v>118577.55</v>
      </c>
      <c r="V90" s="17" t="n">
        <f aca="false">K90*Parametros_Legales!$C$19</f>
        <v>59359.95</v>
      </c>
      <c r="W90" s="17" t="n">
        <f aca="false">K90+L90+Q90+R90+S90+T90+U90+V90</f>
        <v>2147775.05</v>
      </c>
    </row>
    <row r="91" customFormat="false" ht="15" hidden="false" customHeight="false" outlineLevel="0" collapsed="false">
      <c r="A91" s="14" t="n">
        <v>90</v>
      </c>
      <c r="B91" s="14" t="s">
        <v>337</v>
      </c>
      <c r="C91" s="14" t="s">
        <v>338</v>
      </c>
      <c r="D91" s="14" t="s">
        <v>117</v>
      </c>
      <c r="E91" s="14" t="s">
        <v>96</v>
      </c>
      <c r="F91" s="14" t="s">
        <v>306</v>
      </c>
      <c r="G91" s="21" t="n">
        <v>45475</v>
      </c>
      <c r="H91" s="14" t="s">
        <v>148</v>
      </c>
      <c r="I91" s="14" t="s">
        <v>165</v>
      </c>
      <c r="J91" s="14" t="s">
        <v>154</v>
      </c>
      <c r="K91" s="22" t="n">
        <v>1423500</v>
      </c>
      <c r="L91" s="15" t="n">
        <f aca="false">IF(K91&lt;=2*Parametros_Legales!$C$5,Parametros_Legales!$C$6,0)</f>
        <v>200000</v>
      </c>
      <c r="M91" s="15" t="n">
        <f aca="false">K91*Parametros_Legales!$C$7</f>
        <v>56940</v>
      </c>
      <c r="N91" s="15" t="n">
        <f aca="false">K91*(Parametros_Legales!$C$9+IF(K91&gt;=4*Parametros_Legales!$C$5,Parametros_Legales!$C$11,0))</f>
        <v>56940</v>
      </c>
      <c r="O91" s="15" t="n">
        <f aca="false">M91+N91</f>
        <v>113880</v>
      </c>
      <c r="P91" s="15" t="n">
        <f aca="false">K91+L91-O91</f>
        <v>1509620</v>
      </c>
      <c r="Q91" s="15" t="n">
        <f aca="false">IF(K91&lt;Parametros_Legales!$C$15,0,K91*Parametros_Legales!$C$8)</f>
        <v>0</v>
      </c>
      <c r="R91" s="15" t="n">
        <f aca="false">K91*Parametros_Legales!$C$10</f>
        <v>170820</v>
      </c>
      <c r="S91" s="15" t="n">
        <f aca="false">K91*Parametros_Legales!$C$12</f>
        <v>56940</v>
      </c>
      <c r="T91" s="15" t="n">
        <f aca="false">K91*Parametros_Legales!$C$16</f>
        <v>118577.55</v>
      </c>
      <c r="U91" s="15" t="n">
        <f aca="false">K91*Parametros_Legales!$C$18</f>
        <v>118577.55</v>
      </c>
      <c r="V91" s="15" t="n">
        <f aca="false">K91*Parametros_Legales!$C$19</f>
        <v>59359.95</v>
      </c>
      <c r="W91" s="15" t="n">
        <f aca="false">K91+L91+Q91+R91+S91+T91+U91+V91</f>
        <v>2147775.05</v>
      </c>
    </row>
    <row r="92" customFormat="false" ht="15" hidden="false" customHeight="false" outlineLevel="0" collapsed="false">
      <c r="A92" s="16" t="n">
        <v>91</v>
      </c>
      <c r="B92" s="16" t="s">
        <v>339</v>
      </c>
      <c r="C92" s="16" t="s">
        <v>340</v>
      </c>
      <c r="D92" s="16" t="s">
        <v>117</v>
      </c>
      <c r="E92" s="16" t="s">
        <v>96</v>
      </c>
      <c r="F92" s="16" t="s">
        <v>306</v>
      </c>
      <c r="G92" s="19" t="n">
        <v>45236</v>
      </c>
      <c r="H92" s="16" t="s">
        <v>148</v>
      </c>
      <c r="I92" s="16" t="s">
        <v>149</v>
      </c>
      <c r="J92" s="16" t="s">
        <v>158</v>
      </c>
      <c r="K92" s="20" t="n">
        <v>1423500</v>
      </c>
      <c r="L92" s="17" t="n">
        <f aca="false">IF(K92&lt;=2*Parametros_Legales!$C$5,Parametros_Legales!$C$6,0)</f>
        <v>200000</v>
      </c>
      <c r="M92" s="17" t="n">
        <f aca="false">K92*Parametros_Legales!$C$7</f>
        <v>56940</v>
      </c>
      <c r="N92" s="17" t="n">
        <f aca="false">K92*(Parametros_Legales!$C$9+IF(K92&gt;=4*Parametros_Legales!$C$5,Parametros_Legales!$C$11,0))</f>
        <v>56940</v>
      </c>
      <c r="O92" s="17" t="n">
        <f aca="false">M92+N92</f>
        <v>113880</v>
      </c>
      <c r="P92" s="17" t="n">
        <f aca="false">K92+L92-O92</f>
        <v>1509620</v>
      </c>
      <c r="Q92" s="17" t="n">
        <f aca="false">IF(K92&lt;Parametros_Legales!$C$15,0,K92*Parametros_Legales!$C$8)</f>
        <v>0</v>
      </c>
      <c r="R92" s="17" t="n">
        <f aca="false">K92*Parametros_Legales!$C$10</f>
        <v>170820</v>
      </c>
      <c r="S92" s="17" t="n">
        <f aca="false">K92*Parametros_Legales!$C$12</f>
        <v>56940</v>
      </c>
      <c r="T92" s="17" t="n">
        <f aca="false">K92*Parametros_Legales!$C$16</f>
        <v>118577.55</v>
      </c>
      <c r="U92" s="17" t="n">
        <f aca="false">K92*Parametros_Legales!$C$18</f>
        <v>118577.55</v>
      </c>
      <c r="V92" s="17" t="n">
        <f aca="false">K92*Parametros_Legales!$C$19</f>
        <v>59359.95</v>
      </c>
      <c r="W92" s="17" t="n">
        <f aca="false">K92+L92+Q92+R92+S92+T92+U92+V92</f>
        <v>2147775.05</v>
      </c>
    </row>
    <row r="93" customFormat="false" ht="15" hidden="false" customHeight="false" outlineLevel="0" collapsed="false">
      <c r="A93" s="14" t="n">
        <v>92</v>
      </c>
      <c r="B93" s="14" t="s">
        <v>341</v>
      </c>
      <c r="C93" s="14" t="s">
        <v>342</v>
      </c>
      <c r="D93" s="14" t="s">
        <v>118</v>
      </c>
      <c r="E93" s="14" t="s">
        <v>98</v>
      </c>
      <c r="F93" s="14" t="s">
        <v>147</v>
      </c>
      <c r="G93" s="21" t="n">
        <v>44206</v>
      </c>
      <c r="H93" s="14" t="s">
        <v>176</v>
      </c>
      <c r="I93" s="14" t="s">
        <v>153</v>
      </c>
      <c r="J93" s="14" t="s">
        <v>162</v>
      </c>
      <c r="K93" s="22" t="n">
        <v>1540000</v>
      </c>
      <c r="L93" s="15" t="n">
        <f aca="false">IF(K93&lt;=2*Parametros_Legales!$C$5,Parametros_Legales!$C$6,0)</f>
        <v>200000</v>
      </c>
      <c r="M93" s="15" t="n">
        <f aca="false">K93*Parametros_Legales!$C$7</f>
        <v>61600</v>
      </c>
      <c r="N93" s="15" t="n">
        <f aca="false">K93*(Parametros_Legales!$C$9+IF(K93&gt;=4*Parametros_Legales!$C$5,Parametros_Legales!$C$11,0))</f>
        <v>61600</v>
      </c>
      <c r="O93" s="15" t="n">
        <f aca="false">M93+N93</f>
        <v>123200</v>
      </c>
      <c r="P93" s="15" t="n">
        <f aca="false">K93+L93-O93</f>
        <v>1616800</v>
      </c>
      <c r="Q93" s="15" t="n">
        <f aca="false">IF(K93&lt;Parametros_Legales!$C$15,0,K93*Parametros_Legales!$C$8)</f>
        <v>0</v>
      </c>
      <c r="R93" s="15" t="n">
        <f aca="false">K93*Parametros_Legales!$C$10</f>
        <v>184800</v>
      </c>
      <c r="S93" s="15" t="n">
        <f aca="false">K93*Parametros_Legales!$C$12</f>
        <v>61600</v>
      </c>
      <c r="T93" s="15" t="n">
        <f aca="false">K93*Parametros_Legales!$C$16</f>
        <v>128282</v>
      </c>
      <c r="U93" s="15" t="n">
        <f aca="false">K93*Parametros_Legales!$C$18</f>
        <v>128282</v>
      </c>
      <c r="V93" s="15" t="n">
        <f aca="false">K93*Parametros_Legales!$C$19</f>
        <v>64218</v>
      </c>
      <c r="W93" s="15" t="n">
        <f aca="false">K93+L93+Q93+R93+S93+T93+U93+V93</f>
        <v>2307182</v>
      </c>
    </row>
    <row r="94" customFormat="false" ht="15" hidden="false" customHeight="false" outlineLevel="0" collapsed="false">
      <c r="A94" s="16" t="n">
        <v>93</v>
      </c>
      <c r="B94" s="16" t="s">
        <v>343</v>
      </c>
      <c r="C94" s="16" t="s">
        <v>344</v>
      </c>
      <c r="D94" s="16" t="s">
        <v>118</v>
      </c>
      <c r="E94" s="16" t="s">
        <v>98</v>
      </c>
      <c r="F94" s="16" t="s">
        <v>147</v>
      </c>
      <c r="G94" s="19" t="n">
        <v>45093</v>
      </c>
      <c r="H94" s="16" t="s">
        <v>176</v>
      </c>
      <c r="I94" s="16" t="s">
        <v>157</v>
      </c>
      <c r="J94" s="16" t="s">
        <v>150</v>
      </c>
      <c r="K94" s="20" t="n">
        <v>1490000</v>
      </c>
      <c r="L94" s="17" t="n">
        <f aca="false">IF(K94&lt;=2*Parametros_Legales!$C$5,Parametros_Legales!$C$6,0)</f>
        <v>200000</v>
      </c>
      <c r="M94" s="17" t="n">
        <f aca="false">K94*Parametros_Legales!$C$7</f>
        <v>59600</v>
      </c>
      <c r="N94" s="17" t="n">
        <f aca="false">K94*(Parametros_Legales!$C$9+IF(K94&gt;=4*Parametros_Legales!$C$5,Parametros_Legales!$C$11,0))</f>
        <v>59600</v>
      </c>
      <c r="O94" s="17" t="n">
        <f aca="false">M94+N94</f>
        <v>119200</v>
      </c>
      <c r="P94" s="17" t="n">
        <f aca="false">K94+L94-O94</f>
        <v>1570800</v>
      </c>
      <c r="Q94" s="17" t="n">
        <f aca="false">IF(K94&lt;Parametros_Legales!$C$15,0,K94*Parametros_Legales!$C$8)</f>
        <v>0</v>
      </c>
      <c r="R94" s="17" t="n">
        <f aca="false">K94*Parametros_Legales!$C$10</f>
        <v>178800</v>
      </c>
      <c r="S94" s="17" t="n">
        <f aca="false">K94*Parametros_Legales!$C$12</f>
        <v>59600</v>
      </c>
      <c r="T94" s="17" t="n">
        <f aca="false">K94*Parametros_Legales!$C$16</f>
        <v>124117</v>
      </c>
      <c r="U94" s="17" t="n">
        <f aca="false">K94*Parametros_Legales!$C$18</f>
        <v>124117</v>
      </c>
      <c r="V94" s="17" t="n">
        <f aca="false">K94*Parametros_Legales!$C$19</f>
        <v>62133</v>
      </c>
      <c r="W94" s="17" t="n">
        <f aca="false">K94+L94+Q94+R94+S94+T94+U94+V94</f>
        <v>2238767</v>
      </c>
    </row>
    <row r="95" customFormat="false" ht="15" hidden="false" customHeight="false" outlineLevel="0" collapsed="false">
      <c r="A95" s="14" t="n">
        <v>94</v>
      </c>
      <c r="B95" s="14" t="s">
        <v>345</v>
      </c>
      <c r="C95" s="14" t="s">
        <v>346</v>
      </c>
      <c r="D95" s="14" t="s">
        <v>118</v>
      </c>
      <c r="E95" s="14" t="s">
        <v>98</v>
      </c>
      <c r="F95" s="14" t="s">
        <v>147</v>
      </c>
      <c r="G95" s="21" t="n">
        <v>43547</v>
      </c>
      <c r="H95" s="14" t="s">
        <v>176</v>
      </c>
      <c r="I95" s="14" t="s">
        <v>161</v>
      </c>
      <c r="J95" s="14" t="s">
        <v>154</v>
      </c>
      <c r="K95" s="22" t="n">
        <v>1640000</v>
      </c>
      <c r="L95" s="15" t="n">
        <f aca="false">IF(K95&lt;=2*Parametros_Legales!$C$5,Parametros_Legales!$C$6,0)</f>
        <v>200000</v>
      </c>
      <c r="M95" s="15" t="n">
        <f aca="false">K95*Parametros_Legales!$C$7</f>
        <v>65600</v>
      </c>
      <c r="N95" s="15" t="n">
        <f aca="false">K95*(Parametros_Legales!$C$9+IF(K95&gt;=4*Parametros_Legales!$C$5,Parametros_Legales!$C$11,0))</f>
        <v>65600</v>
      </c>
      <c r="O95" s="15" t="n">
        <f aca="false">M95+N95</f>
        <v>131200</v>
      </c>
      <c r="P95" s="15" t="n">
        <f aca="false">K95+L95-O95</f>
        <v>1708800</v>
      </c>
      <c r="Q95" s="15" t="n">
        <f aca="false">IF(K95&lt;Parametros_Legales!$C$15,0,K95*Parametros_Legales!$C$8)</f>
        <v>0</v>
      </c>
      <c r="R95" s="15" t="n">
        <f aca="false">K95*Parametros_Legales!$C$10</f>
        <v>196800</v>
      </c>
      <c r="S95" s="15" t="n">
        <f aca="false">K95*Parametros_Legales!$C$12</f>
        <v>65600</v>
      </c>
      <c r="T95" s="15" t="n">
        <f aca="false">K95*Parametros_Legales!$C$16</f>
        <v>136612</v>
      </c>
      <c r="U95" s="15" t="n">
        <f aca="false">K95*Parametros_Legales!$C$18</f>
        <v>136612</v>
      </c>
      <c r="V95" s="15" t="n">
        <f aca="false">K95*Parametros_Legales!$C$19</f>
        <v>68388</v>
      </c>
      <c r="W95" s="15" t="n">
        <f aca="false">K95+L95+Q95+R95+S95+T95+U95+V95</f>
        <v>2444012</v>
      </c>
    </row>
    <row r="96" customFormat="false" ht="15" hidden="false" customHeight="false" outlineLevel="0" collapsed="false">
      <c r="A96" s="16" t="n">
        <v>95</v>
      </c>
      <c r="B96" s="16" t="s">
        <v>347</v>
      </c>
      <c r="C96" s="16" t="s">
        <v>348</v>
      </c>
      <c r="D96" s="16" t="s">
        <v>118</v>
      </c>
      <c r="E96" s="16" t="s">
        <v>98</v>
      </c>
      <c r="F96" s="16" t="s">
        <v>147</v>
      </c>
      <c r="G96" s="19" t="n">
        <v>45018</v>
      </c>
      <c r="H96" s="16" t="s">
        <v>176</v>
      </c>
      <c r="I96" s="16" t="s">
        <v>165</v>
      </c>
      <c r="J96" s="16" t="s">
        <v>158</v>
      </c>
      <c r="K96" s="20" t="n">
        <v>1540000</v>
      </c>
      <c r="L96" s="17" t="n">
        <f aca="false">IF(K96&lt;=2*Parametros_Legales!$C$5,Parametros_Legales!$C$6,0)</f>
        <v>200000</v>
      </c>
      <c r="M96" s="17" t="n">
        <f aca="false">K96*Parametros_Legales!$C$7</f>
        <v>61600</v>
      </c>
      <c r="N96" s="17" t="n">
        <f aca="false">K96*(Parametros_Legales!$C$9+IF(K96&gt;=4*Parametros_Legales!$C$5,Parametros_Legales!$C$11,0))</f>
        <v>61600</v>
      </c>
      <c r="O96" s="17" t="n">
        <f aca="false">M96+N96</f>
        <v>123200</v>
      </c>
      <c r="P96" s="17" t="n">
        <f aca="false">K96+L96-O96</f>
        <v>1616800</v>
      </c>
      <c r="Q96" s="17" t="n">
        <f aca="false">IF(K96&lt;Parametros_Legales!$C$15,0,K96*Parametros_Legales!$C$8)</f>
        <v>0</v>
      </c>
      <c r="R96" s="17" t="n">
        <f aca="false">K96*Parametros_Legales!$C$10</f>
        <v>184800</v>
      </c>
      <c r="S96" s="17" t="n">
        <f aca="false">K96*Parametros_Legales!$C$12</f>
        <v>61600</v>
      </c>
      <c r="T96" s="17" t="n">
        <f aca="false">K96*Parametros_Legales!$C$16</f>
        <v>128282</v>
      </c>
      <c r="U96" s="17" t="n">
        <f aca="false">K96*Parametros_Legales!$C$18</f>
        <v>128282</v>
      </c>
      <c r="V96" s="17" t="n">
        <f aca="false">K96*Parametros_Legales!$C$19</f>
        <v>64218</v>
      </c>
      <c r="W96" s="17" t="n">
        <f aca="false">K96+L96+Q96+R96+S96+T96+U96+V96</f>
        <v>2307182</v>
      </c>
    </row>
    <row r="97" customFormat="false" ht="15" hidden="false" customHeight="false" outlineLevel="0" collapsed="false">
      <c r="A97" s="14" t="n">
        <v>96</v>
      </c>
      <c r="B97" s="14" t="s">
        <v>349</v>
      </c>
      <c r="C97" s="14" t="s">
        <v>350</v>
      </c>
      <c r="D97" s="14" t="s">
        <v>118</v>
      </c>
      <c r="E97" s="14" t="s">
        <v>98</v>
      </c>
      <c r="F97" s="14" t="s">
        <v>147</v>
      </c>
      <c r="G97" s="21" t="n">
        <v>43785</v>
      </c>
      <c r="H97" s="14" t="s">
        <v>176</v>
      </c>
      <c r="I97" s="14" t="s">
        <v>149</v>
      </c>
      <c r="J97" s="14" t="s">
        <v>162</v>
      </c>
      <c r="K97" s="22" t="n">
        <v>1510000</v>
      </c>
      <c r="L97" s="15" t="n">
        <f aca="false">IF(K97&lt;=2*Parametros_Legales!$C$5,Parametros_Legales!$C$6,0)</f>
        <v>200000</v>
      </c>
      <c r="M97" s="15" t="n">
        <f aca="false">K97*Parametros_Legales!$C$7</f>
        <v>60400</v>
      </c>
      <c r="N97" s="15" t="n">
        <f aca="false">K97*(Parametros_Legales!$C$9+IF(K97&gt;=4*Parametros_Legales!$C$5,Parametros_Legales!$C$11,0))</f>
        <v>60400</v>
      </c>
      <c r="O97" s="15" t="n">
        <f aca="false">M97+N97</f>
        <v>120800</v>
      </c>
      <c r="P97" s="15" t="n">
        <f aca="false">K97+L97-O97</f>
        <v>1589200</v>
      </c>
      <c r="Q97" s="15" t="n">
        <f aca="false">IF(K97&lt;Parametros_Legales!$C$15,0,K97*Parametros_Legales!$C$8)</f>
        <v>0</v>
      </c>
      <c r="R97" s="15" t="n">
        <f aca="false">K97*Parametros_Legales!$C$10</f>
        <v>181200</v>
      </c>
      <c r="S97" s="15" t="n">
        <f aca="false">K97*Parametros_Legales!$C$12</f>
        <v>60400</v>
      </c>
      <c r="T97" s="15" t="n">
        <f aca="false">K97*Parametros_Legales!$C$16</f>
        <v>125783</v>
      </c>
      <c r="U97" s="15" t="n">
        <f aca="false">K97*Parametros_Legales!$C$18</f>
        <v>125783</v>
      </c>
      <c r="V97" s="15" t="n">
        <f aca="false">K97*Parametros_Legales!$C$19</f>
        <v>62967</v>
      </c>
      <c r="W97" s="15" t="n">
        <f aca="false">K97+L97+Q97+R97+S97+T97+U97+V97</f>
        <v>2266133</v>
      </c>
    </row>
    <row r="98" customFormat="false" ht="15" hidden="false" customHeight="false" outlineLevel="0" collapsed="false">
      <c r="A98" s="16" t="n">
        <v>97</v>
      </c>
      <c r="B98" s="16" t="s">
        <v>351</v>
      </c>
      <c r="C98" s="16" t="s">
        <v>352</v>
      </c>
      <c r="D98" s="16" t="s">
        <v>118</v>
      </c>
      <c r="E98" s="16" t="s">
        <v>98</v>
      </c>
      <c r="F98" s="16" t="s">
        <v>147</v>
      </c>
      <c r="G98" s="19" t="n">
        <v>43342</v>
      </c>
      <c r="H98" s="16" t="s">
        <v>176</v>
      </c>
      <c r="I98" s="16" t="s">
        <v>153</v>
      </c>
      <c r="J98" s="16" t="s">
        <v>150</v>
      </c>
      <c r="K98" s="20" t="n">
        <v>1610000</v>
      </c>
      <c r="L98" s="17" t="n">
        <f aca="false">IF(K98&lt;=2*Parametros_Legales!$C$5,Parametros_Legales!$C$6,0)</f>
        <v>200000</v>
      </c>
      <c r="M98" s="17" t="n">
        <f aca="false">K98*Parametros_Legales!$C$7</f>
        <v>64400</v>
      </c>
      <c r="N98" s="17" t="n">
        <f aca="false">K98*(Parametros_Legales!$C$9+IF(K98&gt;=4*Parametros_Legales!$C$5,Parametros_Legales!$C$11,0))</f>
        <v>64400</v>
      </c>
      <c r="O98" s="17" t="n">
        <f aca="false">M98+N98</f>
        <v>128800</v>
      </c>
      <c r="P98" s="17" t="n">
        <f aca="false">K98+L98-O98</f>
        <v>1681200</v>
      </c>
      <c r="Q98" s="17" t="n">
        <f aca="false">IF(K98&lt;Parametros_Legales!$C$15,0,K98*Parametros_Legales!$C$8)</f>
        <v>0</v>
      </c>
      <c r="R98" s="17" t="n">
        <f aca="false">K98*Parametros_Legales!$C$10</f>
        <v>193200</v>
      </c>
      <c r="S98" s="17" t="n">
        <f aca="false">K98*Parametros_Legales!$C$12</f>
        <v>64400</v>
      </c>
      <c r="T98" s="17" t="n">
        <f aca="false">K98*Parametros_Legales!$C$16</f>
        <v>134113</v>
      </c>
      <c r="U98" s="17" t="n">
        <f aca="false">K98*Parametros_Legales!$C$18</f>
        <v>134113</v>
      </c>
      <c r="V98" s="17" t="n">
        <f aca="false">K98*Parametros_Legales!$C$19</f>
        <v>67137</v>
      </c>
      <c r="W98" s="17" t="n">
        <f aca="false">K98+L98+Q98+R98+S98+T98+U98+V98</f>
        <v>2402963</v>
      </c>
    </row>
    <row r="99" customFormat="false" ht="15" hidden="false" customHeight="false" outlineLevel="0" collapsed="false">
      <c r="A99" s="14" t="n">
        <v>98</v>
      </c>
      <c r="B99" s="14" t="s">
        <v>353</v>
      </c>
      <c r="C99" s="14" t="s">
        <v>354</v>
      </c>
      <c r="D99" s="14" t="s">
        <v>118</v>
      </c>
      <c r="E99" s="14" t="s">
        <v>98</v>
      </c>
      <c r="F99" s="14" t="s">
        <v>147</v>
      </c>
      <c r="G99" s="21" t="n">
        <v>44958</v>
      </c>
      <c r="H99" s="14" t="s">
        <v>176</v>
      </c>
      <c r="I99" s="14" t="s">
        <v>157</v>
      </c>
      <c r="J99" s="14" t="s">
        <v>154</v>
      </c>
      <c r="K99" s="22" t="n">
        <v>1540000</v>
      </c>
      <c r="L99" s="15" t="n">
        <f aca="false">IF(K99&lt;=2*Parametros_Legales!$C$5,Parametros_Legales!$C$6,0)</f>
        <v>200000</v>
      </c>
      <c r="M99" s="15" t="n">
        <f aca="false">K99*Parametros_Legales!$C$7</f>
        <v>61600</v>
      </c>
      <c r="N99" s="15" t="n">
        <f aca="false">K99*(Parametros_Legales!$C$9+IF(K99&gt;=4*Parametros_Legales!$C$5,Parametros_Legales!$C$11,0))</f>
        <v>61600</v>
      </c>
      <c r="O99" s="15" t="n">
        <f aca="false">M99+N99</f>
        <v>123200</v>
      </c>
      <c r="P99" s="15" t="n">
        <f aca="false">K99+L99-O99</f>
        <v>1616800</v>
      </c>
      <c r="Q99" s="15" t="n">
        <f aca="false">IF(K99&lt;Parametros_Legales!$C$15,0,K99*Parametros_Legales!$C$8)</f>
        <v>0</v>
      </c>
      <c r="R99" s="15" t="n">
        <f aca="false">K99*Parametros_Legales!$C$10</f>
        <v>184800</v>
      </c>
      <c r="S99" s="15" t="n">
        <f aca="false">K99*Parametros_Legales!$C$12</f>
        <v>61600</v>
      </c>
      <c r="T99" s="15" t="n">
        <f aca="false">K99*Parametros_Legales!$C$16</f>
        <v>128282</v>
      </c>
      <c r="U99" s="15" t="n">
        <f aca="false">K99*Parametros_Legales!$C$18</f>
        <v>128282</v>
      </c>
      <c r="V99" s="15" t="n">
        <f aca="false">K99*Parametros_Legales!$C$19</f>
        <v>64218</v>
      </c>
      <c r="W99" s="15" t="n">
        <f aca="false">K99+L99+Q99+R99+S99+T99+U99+V99</f>
        <v>2307182</v>
      </c>
    </row>
    <row r="100" customFormat="false" ht="15" hidden="false" customHeight="false" outlineLevel="0" collapsed="false">
      <c r="A100" s="16" t="n">
        <v>99</v>
      </c>
      <c r="B100" s="16" t="s">
        <v>355</v>
      </c>
      <c r="C100" s="16" t="s">
        <v>356</v>
      </c>
      <c r="D100" s="16" t="s">
        <v>118</v>
      </c>
      <c r="E100" s="16" t="s">
        <v>98</v>
      </c>
      <c r="F100" s="16" t="s">
        <v>147</v>
      </c>
      <c r="G100" s="19" t="n">
        <v>43375</v>
      </c>
      <c r="H100" s="16" t="s">
        <v>176</v>
      </c>
      <c r="I100" s="16" t="s">
        <v>161</v>
      </c>
      <c r="J100" s="16" t="s">
        <v>158</v>
      </c>
      <c r="K100" s="20" t="n">
        <v>1600000</v>
      </c>
      <c r="L100" s="17" t="n">
        <f aca="false">IF(K100&lt;=2*Parametros_Legales!$C$5,Parametros_Legales!$C$6,0)</f>
        <v>200000</v>
      </c>
      <c r="M100" s="17" t="n">
        <f aca="false">K100*Parametros_Legales!$C$7</f>
        <v>64000</v>
      </c>
      <c r="N100" s="17" t="n">
        <f aca="false">K100*(Parametros_Legales!$C$9+IF(K100&gt;=4*Parametros_Legales!$C$5,Parametros_Legales!$C$11,0))</f>
        <v>64000</v>
      </c>
      <c r="O100" s="17" t="n">
        <f aca="false">M100+N100</f>
        <v>128000</v>
      </c>
      <c r="P100" s="17" t="n">
        <f aca="false">K100+L100-O100</f>
        <v>1672000</v>
      </c>
      <c r="Q100" s="17" t="n">
        <f aca="false">IF(K100&lt;Parametros_Legales!$C$15,0,K100*Parametros_Legales!$C$8)</f>
        <v>0</v>
      </c>
      <c r="R100" s="17" t="n">
        <f aca="false">K100*Parametros_Legales!$C$10</f>
        <v>192000</v>
      </c>
      <c r="S100" s="17" t="n">
        <f aca="false">K100*Parametros_Legales!$C$12</f>
        <v>64000</v>
      </c>
      <c r="T100" s="17" t="n">
        <f aca="false">K100*Parametros_Legales!$C$16</f>
        <v>133280</v>
      </c>
      <c r="U100" s="17" t="n">
        <f aca="false">K100*Parametros_Legales!$C$18</f>
        <v>133280</v>
      </c>
      <c r="V100" s="17" t="n">
        <f aca="false">K100*Parametros_Legales!$C$19</f>
        <v>66720</v>
      </c>
      <c r="W100" s="17" t="n">
        <f aca="false">K100+L100+Q100+R100+S100+T100+U100+V100</f>
        <v>2389280</v>
      </c>
    </row>
    <row r="101" customFormat="false" ht="15" hidden="false" customHeight="false" outlineLevel="0" collapsed="false">
      <c r="A101" s="14" t="n">
        <v>100</v>
      </c>
      <c r="B101" s="14" t="s">
        <v>357</v>
      </c>
      <c r="C101" s="14" t="s">
        <v>358</v>
      </c>
      <c r="D101" s="14" t="s">
        <v>118</v>
      </c>
      <c r="E101" s="14" t="s">
        <v>98</v>
      </c>
      <c r="F101" s="14" t="s">
        <v>147</v>
      </c>
      <c r="G101" s="21" t="n">
        <v>44306</v>
      </c>
      <c r="H101" s="14" t="s">
        <v>176</v>
      </c>
      <c r="I101" s="14" t="s">
        <v>165</v>
      </c>
      <c r="J101" s="14" t="s">
        <v>162</v>
      </c>
      <c r="K101" s="22" t="n">
        <v>1510000</v>
      </c>
      <c r="L101" s="15" t="n">
        <f aca="false">IF(K101&lt;=2*Parametros_Legales!$C$5,Parametros_Legales!$C$6,0)</f>
        <v>200000</v>
      </c>
      <c r="M101" s="15" t="n">
        <f aca="false">K101*Parametros_Legales!$C$7</f>
        <v>60400</v>
      </c>
      <c r="N101" s="15" t="n">
        <f aca="false">K101*(Parametros_Legales!$C$9+IF(K101&gt;=4*Parametros_Legales!$C$5,Parametros_Legales!$C$11,0))</f>
        <v>60400</v>
      </c>
      <c r="O101" s="15" t="n">
        <f aca="false">M101+N101</f>
        <v>120800</v>
      </c>
      <c r="P101" s="15" t="n">
        <f aca="false">K101+L101-O101</f>
        <v>1589200</v>
      </c>
      <c r="Q101" s="15" t="n">
        <f aca="false">IF(K101&lt;Parametros_Legales!$C$15,0,K101*Parametros_Legales!$C$8)</f>
        <v>0</v>
      </c>
      <c r="R101" s="15" t="n">
        <f aca="false">K101*Parametros_Legales!$C$10</f>
        <v>181200</v>
      </c>
      <c r="S101" s="15" t="n">
        <f aca="false">K101*Parametros_Legales!$C$12</f>
        <v>60400</v>
      </c>
      <c r="T101" s="15" t="n">
        <f aca="false">K101*Parametros_Legales!$C$16</f>
        <v>125783</v>
      </c>
      <c r="U101" s="15" t="n">
        <f aca="false">K101*Parametros_Legales!$C$18</f>
        <v>125783</v>
      </c>
      <c r="V101" s="15" t="n">
        <f aca="false">K101*Parametros_Legales!$C$19</f>
        <v>62967</v>
      </c>
      <c r="W101" s="15" t="n">
        <f aca="false">K101+L101+Q101+R101+S101+T101+U101+V101</f>
        <v>2266133</v>
      </c>
    </row>
    <row r="102" customFormat="false" ht="15" hidden="false" customHeight="false" outlineLevel="0" collapsed="false">
      <c r="A102" s="16" t="n">
        <v>101</v>
      </c>
      <c r="B102" s="16" t="s">
        <v>359</v>
      </c>
      <c r="C102" s="16" t="s">
        <v>360</v>
      </c>
      <c r="D102" s="16" t="s">
        <v>118</v>
      </c>
      <c r="E102" s="16" t="s">
        <v>98</v>
      </c>
      <c r="F102" s="16" t="s">
        <v>147</v>
      </c>
      <c r="G102" s="19" t="n">
        <v>45442</v>
      </c>
      <c r="H102" s="16" t="s">
        <v>176</v>
      </c>
      <c r="I102" s="16" t="s">
        <v>149</v>
      </c>
      <c r="J102" s="16" t="s">
        <v>150</v>
      </c>
      <c r="K102" s="20" t="n">
        <v>1450000</v>
      </c>
      <c r="L102" s="17" t="n">
        <f aca="false">IF(K102&lt;=2*Parametros_Legales!$C$5,Parametros_Legales!$C$6,0)</f>
        <v>200000</v>
      </c>
      <c r="M102" s="17" t="n">
        <f aca="false">K102*Parametros_Legales!$C$7</f>
        <v>58000</v>
      </c>
      <c r="N102" s="17" t="n">
        <f aca="false">K102*(Parametros_Legales!$C$9+IF(K102&gt;=4*Parametros_Legales!$C$5,Parametros_Legales!$C$11,0))</f>
        <v>58000</v>
      </c>
      <c r="O102" s="17" t="n">
        <f aca="false">M102+N102</f>
        <v>116000</v>
      </c>
      <c r="P102" s="17" t="n">
        <f aca="false">K102+L102-O102</f>
        <v>1534000</v>
      </c>
      <c r="Q102" s="17" t="n">
        <f aca="false">IF(K102&lt;Parametros_Legales!$C$15,0,K102*Parametros_Legales!$C$8)</f>
        <v>0</v>
      </c>
      <c r="R102" s="17" t="n">
        <f aca="false">K102*Parametros_Legales!$C$10</f>
        <v>174000</v>
      </c>
      <c r="S102" s="17" t="n">
        <f aca="false">K102*Parametros_Legales!$C$12</f>
        <v>58000</v>
      </c>
      <c r="T102" s="17" t="n">
        <f aca="false">K102*Parametros_Legales!$C$16</f>
        <v>120785</v>
      </c>
      <c r="U102" s="17" t="n">
        <f aca="false">K102*Parametros_Legales!$C$18</f>
        <v>120785</v>
      </c>
      <c r="V102" s="17" t="n">
        <f aca="false">K102*Parametros_Legales!$C$19</f>
        <v>60465</v>
      </c>
      <c r="W102" s="17" t="n">
        <f aca="false">K102+L102+Q102+R102+S102+T102+U102+V102</f>
        <v>2184035</v>
      </c>
    </row>
    <row r="103" customFormat="false" ht="15" hidden="false" customHeight="false" outlineLevel="0" collapsed="false">
      <c r="A103" s="14" t="n">
        <v>102</v>
      </c>
      <c r="B103" s="14" t="s">
        <v>361</v>
      </c>
      <c r="C103" s="14" t="s">
        <v>362</v>
      </c>
      <c r="D103" s="14" t="s">
        <v>118</v>
      </c>
      <c r="E103" s="14" t="s">
        <v>98</v>
      </c>
      <c r="F103" s="14" t="s">
        <v>147</v>
      </c>
      <c r="G103" s="21" t="n">
        <v>45673</v>
      </c>
      <c r="H103" s="14" t="s">
        <v>176</v>
      </c>
      <c r="I103" s="14" t="s">
        <v>153</v>
      </c>
      <c r="J103" s="14" t="s">
        <v>154</v>
      </c>
      <c r="K103" s="22" t="n">
        <v>1590000</v>
      </c>
      <c r="L103" s="15" t="n">
        <f aca="false">IF(K103&lt;=2*Parametros_Legales!$C$5,Parametros_Legales!$C$6,0)</f>
        <v>200000</v>
      </c>
      <c r="M103" s="15" t="n">
        <f aca="false">K103*Parametros_Legales!$C$7</f>
        <v>63600</v>
      </c>
      <c r="N103" s="15" t="n">
        <f aca="false">K103*(Parametros_Legales!$C$9+IF(K103&gt;=4*Parametros_Legales!$C$5,Parametros_Legales!$C$11,0))</f>
        <v>63600</v>
      </c>
      <c r="O103" s="15" t="n">
        <f aca="false">M103+N103</f>
        <v>127200</v>
      </c>
      <c r="P103" s="15" t="n">
        <f aca="false">K103+L103-O103</f>
        <v>1662800</v>
      </c>
      <c r="Q103" s="15" t="n">
        <f aca="false">IF(K103&lt;Parametros_Legales!$C$15,0,K103*Parametros_Legales!$C$8)</f>
        <v>0</v>
      </c>
      <c r="R103" s="15" t="n">
        <f aca="false">K103*Parametros_Legales!$C$10</f>
        <v>190800</v>
      </c>
      <c r="S103" s="15" t="n">
        <f aca="false">K103*Parametros_Legales!$C$12</f>
        <v>63600</v>
      </c>
      <c r="T103" s="15" t="n">
        <f aca="false">K103*Parametros_Legales!$C$16</f>
        <v>132447</v>
      </c>
      <c r="U103" s="15" t="n">
        <f aca="false">K103*Parametros_Legales!$C$18</f>
        <v>132447</v>
      </c>
      <c r="V103" s="15" t="n">
        <f aca="false">K103*Parametros_Legales!$C$19</f>
        <v>66303</v>
      </c>
      <c r="W103" s="15" t="n">
        <f aca="false">K103+L103+Q103+R103+S103+T103+U103+V103</f>
        <v>2375597</v>
      </c>
    </row>
    <row r="104" customFormat="false" ht="15" hidden="false" customHeight="false" outlineLevel="0" collapsed="false">
      <c r="A104" s="16" t="n">
        <v>103</v>
      </c>
      <c r="B104" s="16" t="s">
        <v>363</v>
      </c>
      <c r="C104" s="16" t="s">
        <v>364</v>
      </c>
      <c r="D104" s="16" t="s">
        <v>118</v>
      </c>
      <c r="E104" s="16" t="s">
        <v>98</v>
      </c>
      <c r="F104" s="16" t="s">
        <v>147</v>
      </c>
      <c r="G104" s="19" t="n">
        <v>43975</v>
      </c>
      <c r="H104" s="16" t="s">
        <v>176</v>
      </c>
      <c r="I104" s="16" t="s">
        <v>157</v>
      </c>
      <c r="J104" s="16" t="s">
        <v>158</v>
      </c>
      <c r="K104" s="20" t="n">
        <v>1490000</v>
      </c>
      <c r="L104" s="17" t="n">
        <f aca="false">IF(K104&lt;=2*Parametros_Legales!$C$5,Parametros_Legales!$C$6,0)</f>
        <v>200000</v>
      </c>
      <c r="M104" s="17" t="n">
        <f aca="false">K104*Parametros_Legales!$C$7</f>
        <v>59600</v>
      </c>
      <c r="N104" s="17" t="n">
        <f aca="false">K104*(Parametros_Legales!$C$9+IF(K104&gt;=4*Parametros_Legales!$C$5,Parametros_Legales!$C$11,0))</f>
        <v>59600</v>
      </c>
      <c r="O104" s="17" t="n">
        <f aca="false">M104+N104</f>
        <v>119200</v>
      </c>
      <c r="P104" s="17" t="n">
        <f aca="false">K104+L104-O104</f>
        <v>1570800</v>
      </c>
      <c r="Q104" s="17" t="n">
        <f aca="false">IF(K104&lt;Parametros_Legales!$C$15,0,K104*Parametros_Legales!$C$8)</f>
        <v>0</v>
      </c>
      <c r="R104" s="17" t="n">
        <f aca="false">K104*Parametros_Legales!$C$10</f>
        <v>178800</v>
      </c>
      <c r="S104" s="17" t="n">
        <f aca="false">K104*Parametros_Legales!$C$12</f>
        <v>59600</v>
      </c>
      <c r="T104" s="17" t="n">
        <f aca="false">K104*Parametros_Legales!$C$16</f>
        <v>124117</v>
      </c>
      <c r="U104" s="17" t="n">
        <f aca="false">K104*Parametros_Legales!$C$18</f>
        <v>124117</v>
      </c>
      <c r="V104" s="17" t="n">
        <f aca="false">K104*Parametros_Legales!$C$19</f>
        <v>62133</v>
      </c>
      <c r="W104" s="17" t="n">
        <f aca="false">K104+L104+Q104+R104+S104+T104+U104+V104</f>
        <v>2238767</v>
      </c>
    </row>
    <row r="105" customFormat="false" ht="15" hidden="false" customHeight="false" outlineLevel="0" collapsed="false">
      <c r="A105" s="14" t="n">
        <v>104</v>
      </c>
      <c r="B105" s="14" t="s">
        <v>365</v>
      </c>
      <c r="C105" s="14" t="s">
        <v>366</v>
      </c>
      <c r="D105" s="14" t="s">
        <v>118</v>
      </c>
      <c r="E105" s="14" t="s">
        <v>98</v>
      </c>
      <c r="F105" s="14" t="s">
        <v>147</v>
      </c>
      <c r="G105" s="21" t="n">
        <v>44131</v>
      </c>
      <c r="H105" s="14" t="s">
        <v>176</v>
      </c>
      <c r="I105" s="14" t="s">
        <v>161</v>
      </c>
      <c r="J105" s="14" t="s">
        <v>162</v>
      </c>
      <c r="K105" s="22" t="n">
        <v>1610000</v>
      </c>
      <c r="L105" s="15" t="n">
        <f aca="false">IF(K105&lt;=2*Parametros_Legales!$C$5,Parametros_Legales!$C$6,0)</f>
        <v>200000</v>
      </c>
      <c r="M105" s="15" t="n">
        <f aca="false">K105*Parametros_Legales!$C$7</f>
        <v>64400</v>
      </c>
      <c r="N105" s="15" t="n">
        <f aca="false">K105*(Parametros_Legales!$C$9+IF(K105&gt;=4*Parametros_Legales!$C$5,Parametros_Legales!$C$11,0))</f>
        <v>64400</v>
      </c>
      <c r="O105" s="15" t="n">
        <f aca="false">M105+N105</f>
        <v>128800</v>
      </c>
      <c r="P105" s="15" t="n">
        <f aca="false">K105+L105-O105</f>
        <v>1681200</v>
      </c>
      <c r="Q105" s="15" t="n">
        <f aca="false">IF(K105&lt;Parametros_Legales!$C$15,0,K105*Parametros_Legales!$C$8)</f>
        <v>0</v>
      </c>
      <c r="R105" s="15" t="n">
        <f aca="false">K105*Parametros_Legales!$C$10</f>
        <v>193200</v>
      </c>
      <c r="S105" s="15" t="n">
        <f aca="false">K105*Parametros_Legales!$C$12</f>
        <v>64400</v>
      </c>
      <c r="T105" s="15" t="n">
        <f aca="false">K105*Parametros_Legales!$C$16</f>
        <v>134113</v>
      </c>
      <c r="U105" s="15" t="n">
        <f aca="false">K105*Parametros_Legales!$C$18</f>
        <v>134113</v>
      </c>
      <c r="V105" s="15" t="n">
        <f aca="false">K105*Parametros_Legales!$C$19</f>
        <v>67137</v>
      </c>
      <c r="W105" s="15" t="n">
        <f aca="false">K105+L105+Q105+R105+S105+T105+U105+V105</f>
        <v>2402963</v>
      </c>
    </row>
    <row r="106" customFormat="false" ht="15" hidden="false" customHeight="false" outlineLevel="0" collapsed="false">
      <c r="A106" s="16" t="n">
        <v>105</v>
      </c>
      <c r="B106" s="16" t="s">
        <v>367</v>
      </c>
      <c r="C106" s="16" t="s">
        <v>368</v>
      </c>
      <c r="D106" s="16" t="s">
        <v>118</v>
      </c>
      <c r="E106" s="16" t="s">
        <v>98</v>
      </c>
      <c r="F106" s="16" t="s">
        <v>147</v>
      </c>
      <c r="G106" s="19" t="n">
        <v>44035</v>
      </c>
      <c r="H106" s="16" t="s">
        <v>176</v>
      </c>
      <c r="I106" s="16" t="s">
        <v>165</v>
      </c>
      <c r="J106" s="16" t="s">
        <v>150</v>
      </c>
      <c r="K106" s="20" t="n">
        <v>1600000</v>
      </c>
      <c r="L106" s="17" t="n">
        <f aca="false">IF(K106&lt;=2*Parametros_Legales!$C$5,Parametros_Legales!$C$6,0)</f>
        <v>200000</v>
      </c>
      <c r="M106" s="17" t="n">
        <f aca="false">K106*Parametros_Legales!$C$7</f>
        <v>64000</v>
      </c>
      <c r="N106" s="17" t="n">
        <f aca="false">K106*(Parametros_Legales!$C$9+IF(K106&gt;=4*Parametros_Legales!$C$5,Parametros_Legales!$C$11,0))</f>
        <v>64000</v>
      </c>
      <c r="O106" s="17" t="n">
        <f aca="false">M106+N106</f>
        <v>128000</v>
      </c>
      <c r="P106" s="17" t="n">
        <f aca="false">K106+L106-O106</f>
        <v>1672000</v>
      </c>
      <c r="Q106" s="17" t="n">
        <f aca="false">IF(K106&lt;Parametros_Legales!$C$15,0,K106*Parametros_Legales!$C$8)</f>
        <v>0</v>
      </c>
      <c r="R106" s="17" t="n">
        <f aca="false">K106*Parametros_Legales!$C$10</f>
        <v>192000</v>
      </c>
      <c r="S106" s="17" t="n">
        <f aca="false">K106*Parametros_Legales!$C$12</f>
        <v>64000</v>
      </c>
      <c r="T106" s="17" t="n">
        <f aca="false">K106*Parametros_Legales!$C$16</f>
        <v>133280</v>
      </c>
      <c r="U106" s="17" t="n">
        <f aca="false">K106*Parametros_Legales!$C$18</f>
        <v>133280</v>
      </c>
      <c r="V106" s="17" t="n">
        <f aca="false">K106*Parametros_Legales!$C$19</f>
        <v>66720</v>
      </c>
      <c r="W106" s="17" t="n">
        <f aca="false">K106+L106+Q106+R106+S106+T106+U106+V106</f>
        <v>2389280</v>
      </c>
    </row>
    <row r="107" customFormat="false" ht="15" hidden="false" customHeight="false" outlineLevel="0" collapsed="false">
      <c r="A107" s="14" t="n">
        <v>106</v>
      </c>
      <c r="B107" s="14" t="s">
        <v>369</v>
      </c>
      <c r="C107" s="14" t="s">
        <v>370</v>
      </c>
      <c r="D107" s="14" t="s">
        <v>118</v>
      </c>
      <c r="E107" s="14" t="s">
        <v>98</v>
      </c>
      <c r="F107" s="14" t="s">
        <v>147</v>
      </c>
      <c r="G107" s="21" t="n">
        <v>43894</v>
      </c>
      <c r="H107" s="14" t="s">
        <v>176</v>
      </c>
      <c r="I107" s="14" t="s">
        <v>149</v>
      </c>
      <c r="J107" s="14" t="s">
        <v>154</v>
      </c>
      <c r="K107" s="22" t="n">
        <v>1610000</v>
      </c>
      <c r="L107" s="15" t="n">
        <f aca="false">IF(K107&lt;=2*Parametros_Legales!$C$5,Parametros_Legales!$C$6,0)</f>
        <v>200000</v>
      </c>
      <c r="M107" s="15" t="n">
        <f aca="false">K107*Parametros_Legales!$C$7</f>
        <v>64400</v>
      </c>
      <c r="N107" s="15" t="n">
        <f aca="false">K107*(Parametros_Legales!$C$9+IF(K107&gt;=4*Parametros_Legales!$C$5,Parametros_Legales!$C$11,0))</f>
        <v>64400</v>
      </c>
      <c r="O107" s="15" t="n">
        <f aca="false">M107+N107</f>
        <v>128800</v>
      </c>
      <c r="P107" s="15" t="n">
        <f aca="false">K107+L107-O107</f>
        <v>1681200</v>
      </c>
      <c r="Q107" s="15" t="n">
        <f aca="false">IF(K107&lt;Parametros_Legales!$C$15,0,K107*Parametros_Legales!$C$8)</f>
        <v>0</v>
      </c>
      <c r="R107" s="15" t="n">
        <f aca="false">K107*Parametros_Legales!$C$10</f>
        <v>193200</v>
      </c>
      <c r="S107" s="15" t="n">
        <f aca="false">K107*Parametros_Legales!$C$12</f>
        <v>64400</v>
      </c>
      <c r="T107" s="15" t="n">
        <f aca="false">K107*Parametros_Legales!$C$16</f>
        <v>134113</v>
      </c>
      <c r="U107" s="15" t="n">
        <f aca="false">K107*Parametros_Legales!$C$18</f>
        <v>134113</v>
      </c>
      <c r="V107" s="15" t="n">
        <f aca="false">K107*Parametros_Legales!$C$19</f>
        <v>67137</v>
      </c>
      <c r="W107" s="15" t="n">
        <f aca="false">K107+L107+Q107+R107+S107+T107+U107+V107</f>
        <v>2402963</v>
      </c>
    </row>
    <row r="108" customFormat="false" ht="15" hidden="false" customHeight="false" outlineLevel="0" collapsed="false">
      <c r="A108" s="16" t="n">
        <v>107</v>
      </c>
      <c r="B108" s="16" t="s">
        <v>371</v>
      </c>
      <c r="C108" s="16" t="s">
        <v>372</v>
      </c>
      <c r="D108" s="16" t="s">
        <v>118</v>
      </c>
      <c r="E108" s="16" t="s">
        <v>98</v>
      </c>
      <c r="F108" s="16" t="s">
        <v>147</v>
      </c>
      <c r="G108" s="19" t="n">
        <v>44918</v>
      </c>
      <c r="H108" s="16" t="s">
        <v>176</v>
      </c>
      <c r="I108" s="16" t="s">
        <v>153</v>
      </c>
      <c r="J108" s="16" t="s">
        <v>158</v>
      </c>
      <c r="K108" s="20" t="n">
        <v>1540000</v>
      </c>
      <c r="L108" s="17" t="n">
        <f aca="false">IF(K108&lt;=2*Parametros_Legales!$C$5,Parametros_Legales!$C$6,0)</f>
        <v>200000</v>
      </c>
      <c r="M108" s="17" t="n">
        <f aca="false">K108*Parametros_Legales!$C$7</f>
        <v>61600</v>
      </c>
      <c r="N108" s="17" t="n">
        <f aca="false">K108*(Parametros_Legales!$C$9+IF(K108&gt;=4*Parametros_Legales!$C$5,Parametros_Legales!$C$11,0))</f>
        <v>61600</v>
      </c>
      <c r="O108" s="17" t="n">
        <f aca="false">M108+N108</f>
        <v>123200</v>
      </c>
      <c r="P108" s="17" t="n">
        <f aca="false">K108+L108-O108</f>
        <v>1616800</v>
      </c>
      <c r="Q108" s="17" t="n">
        <f aca="false">IF(K108&lt;Parametros_Legales!$C$15,0,K108*Parametros_Legales!$C$8)</f>
        <v>0</v>
      </c>
      <c r="R108" s="17" t="n">
        <f aca="false">K108*Parametros_Legales!$C$10</f>
        <v>184800</v>
      </c>
      <c r="S108" s="17" t="n">
        <f aca="false">K108*Parametros_Legales!$C$12</f>
        <v>61600</v>
      </c>
      <c r="T108" s="17" t="n">
        <f aca="false">K108*Parametros_Legales!$C$16</f>
        <v>128282</v>
      </c>
      <c r="U108" s="17" t="n">
        <f aca="false">K108*Parametros_Legales!$C$18</f>
        <v>128282</v>
      </c>
      <c r="V108" s="17" t="n">
        <f aca="false">K108*Parametros_Legales!$C$19</f>
        <v>64218</v>
      </c>
      <c r="W108" s="17" t="n">
        <f aca="false">K108+L108+Q108+R108+S108+T108+U108+V108</f>
        <v>2307182</v>
      </c>
    </row>
    <row r="109" customFormat="false" ht="15" hidden="false" customHeight="false" outlineLevel="0" collapsed="false">
      <c r="A109" s="14" t="n">
        <v>108</v>
      </c>
      <c r="B109" s="14" t="s">
        <v>373</v>
      </c>
      <c r="C109" s="14" t="s">
        <v>374</v>
      </c>
      <c r="D109" s="14" t="s">
        <v>118</v>
      </c>
      <c r="E109" s="14" t="s">
        <v>98</v>
      </c>
      <c r="F109" s="14" t="s">
        <v>147</v>
      </c>
      <c r="G109" s="21" t="n">
        <v>45261</v>
      </c>
      <c r="H109" s="14" t="s">
        <v>176</v>
      </c>
      <c r="I109" s="14" t="s">
        <v>157</v>
      </c>
      <c r="J109" s="14" t="s">
        <v>162</v>
      </c>
      <c r="K109" s="22" t="n">
        <v>1490000</v>
      </c>
      <c r="L109" s="15" t="n">
        <f aca="false">IF(K109&lt;=2*Parametros_Legales!$C$5,Parametros_Legales!$C$6,0)</f>
        <v>200000</v>
      </c>
      <c r="M109" s="15" t="n">
        <f aca="false">K109*Parametros_Legales!$C$7</f>
        <v>59600</v>
      </c>
      <c r="N109" s="15" t="n">
        <f aca="false">K109*(Parametros_Legales!$C$9+IF(K109&gt;=4*Parametros_Legales!$C$5,Parametros_Legales!$C$11,0))</f>
        <v>59600</v>
      </c>
      <c r="O109" s="15" t="n">
        <f aca="false">M109+N109</f>
        <v>119200</v>
      </c>
      <c r="P109" s="15" t="n">
        <f aca="false">K109+L109-O109</f>
        <v>1570800</v>
      </c>
      <c r="Q109" s="15" t="n">
        <f aca="false">IF(K109&lt;Parametros_Legales!$C$15,0,K109*Parametros_Legales!$C$8)</f>
        <v>0</v>
      </c>
      <c r="R109" s="15" t="n">
        <f aca="false">K109*Parametros_Legales!$C$10</f>
        <v>178800</v>
      </c>
      <c r="S109" s="15" t="n">
        <f aca="false">K109*Parametros_Legales!$C$12</f>
        <v>59600</v>
      </c>
      <c r="T109" s="15" t="n">
        <f aca="false">K109*Parametros_Legales!$C$16</f>
        <v>124117</v>
      </c>
      <c r="U109" s="15" t="n">
        <f aca="false">K109*Parametros_Legales!$C$18</f>
        <v>124117</v>
      </c>
      <c r="V109" s="15" t="n">
        <f aca="false">K109*Parametros_Legales!$C$19</f>
        <v>62133</v>
      </c>
      <c r="W109" s="15" t="n">
        <f aca="false">K109+L109+Q109+R109+S109+T109+U109+V109</f>
        <v>2238767</v>
      </c>
    </row>
    <row r="110" customFormat="false" ht="15" hidden="false" customHeight="false" outlineLevel="0" collapsed="false">
      <c r="A110" s="16" t="n">
        <v>109</v>
      </c>
      <c r="B110" s="16" t="s">
        <v>375</v>
      </c>
      <c r="C110" s="16" t="s">
        <v>376</v>
      </c>
      <c r="D110" s="16" t="s">
        <v>118</v>
      </c>
      <c r="E110" s="16" t="s">
        <v>98</v>
      </c>
      <c r="F110" s="16" t="s">
        <v>147</v>
      </c>
      <c r="G110" s="19" t="n">
        <v>45615</v>
      </c>
      <c r="H110" s="16" t="s">
        <v>176</v>
      </c>
      <c r="I110" s="16" t="s">
        <v>161</v>
      </c>
      <c r="J110" s="16" t="s">
        <v>150</v>
      </c>
      <c r="K110" s="20" t="n">
        <v>1510000</v>
      </c>
      <c r="L110" s="17" t="n">
        <f aca="false">IF(K110&lt;=2*Parametros_Legales!$C$5,Parametros_Legales!$C$6,0)</f>
        <v>200000</v>
      </c>
      <c r="M110" s="17" t="n">
        <f aca="false">K110*Parametros_Legales!$C$7</f>
        <v>60400</v>
      </c>
      <c r="N110" s="17" t="n">
        <f aca="false">K110*(Parametros_Legales!$C$9+IF(K110&gt;=4*Parametros_Legales!$C$5,Parametros_Legales!$C$11,0))</f>
        <v>60400</v>
      </c>
      <c r="O110" s="17" t="n">
        <f aca="false">M110+N110</f>
        <v>120800</v>
      </c>
      <c r="P110" s="17" t="n">
        <f aca="false">K110+L110-O110</f>
        <v>1589200</v>
      </c>
      <c r="Q110" s="17" t="n">
        <f aca="false">IF(K110&lt;Parametros_Legales!$C$15,0,K110*Parametros_Legales!$C$8)</f>
        <v>0</v>
      </c>
      <c r="R110" s="17" t="n">
        <f aca="false">K110*Parametros_Legales!$C$10</f>
        <v>181200</v>
      </c>
      <c r="S110" s="17" t="n">
        <f aca="false">K110*Parametros_Legales!$C$12</f>
        <v>60400</v>
      </c>
      <c r="T110" s="17" t="n">
        <f aca="false">K110*Parametros_Legales!$C$16</f>
        <v>125783</v>
      </c>
      <c r="U110" s="17" t="n">
        <f aca="false">K110*Parametros_Legales!$C$18</f>
        <v>125783</v>
      </c>
      <c r="V110" s="17" t="n">
        <f aca="false">K110*Parametros_Legales!$C$19</f>
        <v>62967</v>
      </c>
      <c r="W110" s="17" t="n">
        <f aca="false">K110+L110+Q110+R110+S110+T110+U110+V110</f>
        <v>2266133</v>
      </c>
    </row>
    <row r="111" customFormat="false" ht="15" hidden="false" customHeight="false" outlineLevel="0" collapsed="false">
      <c r="A111" s="14" t="n">
        <v>110</v>
      </c>
      <c r="B111" s="14" t="s">
        <v>377</v>
      </c>
      <c r="C111" s="14" t="s">
        <v>378</v>
      </c>
      <c r="D111" s="14" t="s">
        <v>118</v>
      </c>
      <c r="E111" s="14" t="s">
        <v>98</v>
      </c>
      <c r="F111" s="14" t="s">
        <v>147</v>
      </c>
      <c r="G111" s="21" t="n">
        <v>45623</v>
      </c>
      <c r="H111" s="14" t="s">
        <v>176</v>
      </c>
      <c r="I111" s="14" t="s">
        <v>165</v>
      </c>
      <c r="J111" s="14" t="s">
        <v>154</v>
      </c>
      <c r="K111" s="22" t="n">
        <v>1580000</v>
      </c>
      <c r="L111" s="15" t="n">
        <f aca="false">IF(K111&lt;=2*Parametros_Legales!$C$5,Parametros_Legales!$C$6,0)</f>
        <v>200000</v>
      </c>
      <c r="M111" s="15" t="n">
        <f aca="false">K111*Parametros_Legales!$C$7</f>
        <v>63200</v>
      </c>
      <c r="N111" s="15" t="n">
        <f aca="false">K111*(Parametros_Legales!$C$9+IF(K111&gt;=4*Parametros_Legales!$C$5,Parametros_Legales!$C$11,0))</f>
        <v>63200</v>
      </c>
      <c r="O111" s="15" t="n">
        <f aca="false">M111+N111</f>
        <v>126400</v>
      </c>
      <c r="P111" s="15" t="n">
        <f aca="false">K111+L111-O111</f>
        <v>1653600</v>
      </c>
      <c r="Q111" s="15" t="n">
        <f aca="false">IF(K111&lt;Parametros_Legales!$C$15,0,K111*Parametros_Legales!$C$8)</f>
        <v>0</v>
      </c>
      <c r="R111" s="15" t="n">
        <f aca="false">K111*Parametros_Legales!$C$10</f>
        <v>189600</v>
      </c>
      <c r="S111" s="15" t="n">
        <f aca="false">K111*Parametros_Legales!$C$12</f>
        <v>63200</v>
      </c>
      <c r="T111" s="15" t="n">
        <f aca="false">K111*Parametros_Legales!$C$16</f>
        <v>131614</v>
      </c>
      <c r="U111" s="15" t="n">
        <f aca="false">K111*Parametros_Legales!$C$18</f>
        <v>131614</v>
      </c>
      <c r="V111" s="15" t="n">
        <f aca="false">K111*Parametros_Legales!$C$19</f>
        <v>65886</v>
      </c>
      <c r="W111" s="15" t="n">
        <f aca="false">K111+L111+Q111+R111+S111+T111+U111+V111</f>
        <v>2361914</v>
      </c>
    </row>
    <row r="112" customFormat="false" ht="15" hidden="false" customHeight="false" outlineLevel="0" collapsed="false">
      <c r="A112" s="16" t="n">
        <v>111</v>
      </c>
      <c r="B112" s="16" t="s">
        <v>379</v>
      </c>
      <c r="C112" s="16" t="s">
        <v>380</v>
      </c>
      <c r="D112" s="16" t="s">
        <v>118</v>
      </c>
      <c r="E112" s="16" t="s">
        <v>98</v>
      </c>
      <c r="F112" s="16" t="s">
        <v>147</v>
      </c>
      <c r="G112" s="19" t="n">
        <v>43520</v>
      </c>
      <c r="H112" s="16" t="s">
        <v>176</v>
      </c>
      <c r="I112" s="16" t="s">
        <v>149</v>
      </c>
      <c r="J112" s="16" t="s">
        <v>158</v>
      </c>
      <c r="K112" s="20" t="n">
        <v>1450000</v>
      </c>
      <c r="L112" s="17" t="n">
        <f aca="false">IF(K112&lt;=2*Parametros_Legales!$C$5,Parametros_Legales!$C$6,0)</f>
        <v>200000</v>
      </c>
      <c r="M112" s="17" t="n">
        <f aca="false">K112*Parametros_Legales!$C$7</f>
        <v>58000</v>
      </c>
      <c r="N112" s="17" t="n">
        <f aca="false">K112*(Parametros_Legales!$C$9+IF(K112&gt;=4*Parametros_Legales!$C$5,Parametros_Legales!$C$11,0))</f>
        <v>58000</v>
      </c>
      <c r="O112" s="17" t="n">
        <f aca="false">M112+N112</f>
        <v>116000</v>
      </c>
      <c r="P112" s="17" t="n">
        <f aca="false">K112+L112-O112</f>
        <v>1534000</v>
      </c>
      <c r="Q112" s="17" t="n">
        <f aca="false">IF(K112&lt;Parametros_Legales!$C$15,0,K112*Parametros_Legales!$C$8)</f>
        <v>0</v>
      </c>
      <c r="R112" s="17" t="n">
        <f aca="false">K112*Parametros_Legales!$C$10</f>
        <v>174000</v>
      </c>
      <c r="S112" s="17" t="n">
        <f aca="false">K112*Parametros_Legales!$C$12</f>
        <v>58000</v>
      </c>
      <c r="T112" s="17" t="n">
        <f aca="false">K112*Parametros_Legales!$C$16</f>
        <v>120785</v>
      </c>
      <c r="U112" s="17" t="n">
        <f aca="false">K112*Parametros_Legales!$C$18</f>
        <v>120785</v>
      </c>
      <c r="V112" s="17" t="n">
        <f aca="false">K112*Parametros_Legales!$C$19</f>
        <v>60465</v>
      </c>
      <c r="W112" s="17" t="n">
        <f aca="false">K112+L112+Q112+R112+S112+T112+U112+V112</f>
        <v>2184035</v>
      </c>
    </row>
    <row r="113" customFormat="false" ht="15" hidden="false" customHeight="false" outlineLevel="0" collapsed="false">
      <c r="A113" s="14" t="n">
        <v>112</v>
      </c>
      <c r="B113" s="14" t="s">
        <v>381</v>
      </c>
      <c r="C113" s="14" t="s">
        <v>382</v>
      </c>
      <c r="D113" s="14" t="s">
        <v>118</v>
      </c>
      <c r="E113" s="14" t="s">
        <v>98</v>
      </c>
      <c r="F113" s="14" t="s">
        <v>147</v>
      </c>
      <c r="G113" s="21" t="n">
        <v>44162</v>
      </c>
      <c r="H113" s="14" t="s">
        <v>176</v>
      </c>
      <c r="I113" s="14" t="s">
        <v>153</v>
      </c>
      <c r="J113" s="14" t="s">
        <v>162</v>
      </c>
      <c r="K113" s="22" t="n">
        <v>1570000</v>
      </c>
      <c r="L113" s="15" t="n">
        <f aca="false">IF(K113&lt;=2*Parametros_Legales!$C$5,Parametros_Legales!$C$6,0)</f>
        <v>200000</v>
      </c>
      <c r="M113" s="15" t="n">
        <f aca="false">K113*Parametros_Legales!$C$7</f>
        <v>62800</v>
      </c>
      <c r="N113" s="15" t="n">
        <f aca="false">K113*(Parametros_Legales!$C$9+IF(K113&gt;=4*Parametros_Legales!$C$5,Parametros_Legales!$C$11,0))</f>
        <v>62800</v>
      </c>
      <c r="O113" s="15" t="n">
        <f aca="false">M113+N113</f>
        <v>125600</v>
      </c>
      <c r="P113" s="15" t="n">
        <f aca="false">K113+L113-O113</f>
        <v>1644400</v>
      </c>
      <c r="Q113" s="15" t="n">
        <f aca="false">IF(K113&lt;Parametros_Legales!$C$15,0,K113*Parametros_Legales!$C$8)</f>
        <v>0</v>
      </c>
      <c r="R113" s="15" t="n">
        <f aca="false">K113*Parametros_Legales!$C$10</f>
        <v>188400</v>
      </c>
      <c r="S113" s="15" t="n">
        <f aca="false">K113*Parametros_Legales!$C$12</f>
        <v>62800</v>
      </c>
      <c r="T113" s="15" t="n">
        <f aca="false">K113*Parametros_Legales!$C$16</f>
        <v>130781</v>
      </c>
      <c r="U113" s="15" t="n">
        <f aca="false">K113*Parametros_Legales!$C$18</f>
        <v>130781</v>
      </c>
      <c r="V113" s="15" t="n">
        <f aca="false">K113*Parametros_Legales!$C$19</f>
        <v>65469</v>
      </c>
      <c r="W113" s="15" t="n">
        <f aca="false">K113+L113+Q113+R113+S113+T113+U113+V113</f>
        <v>2348231</v>
      </c>
    </row>
    <row r="114" customFormat="false" ht="15" hidden="false" customHeight="false" outlineLevel="0" collapsed="false">
      <c r="A114" s="16" t="n">
        <v>113</v>
      </c>
      <c r="B114" s="16" t="s">
        <v>383</v>
      </c>
      <c r="C114" s="16" t="s">
        <v>384</v>
      </c>
      <c r="D114" s="16" t="s">
        <v>118</v>
      </c>
      <c r="E114" s="16" t="s">
        <v>98</v>
      </c>
      <c r="F114" s="16" t="s">
        <v>147</v>
      </c>
      <c r="G114" s="19" t="n">
        <v>43889</v>
      </c>
      <c r="H114" s="16" t="s">
        <v>176</v>
      </c>
      <c r="I114" s="16" t="s">
        <v>157</v>
      </c>
      <c r="J114" s="16" t="s">
        <v>150</v>
      </c>
      <c r="K114" s="20" t="n">
        <v>1580000</v>
      </c>
      <c r="L114" s="17" t="n">
        <f aca="false">IF(K114&lt;=2*Parametros_Legales!$C$5,Parametros_Legales!$C$6,0)</f>
        <v>200000</v>
      </c>
      <c r="M114" s="17" t="n">
        <f aca="false">K114*Parametros_Legales!$C$7</f>
        <v>63200</v>
      </c>
      <c r="N114" s="17" t="n">
        <f aca="false">K114*(Parametros_Legales!$C$9+IF(K114&gt;=4*Parametros_Legales!$C$5,Parametros_Legales!$C$11,0))</f>
        <v>63200</v>
      </c>
      <c r="O114" s="17" t="n">
        <f aca="false">M114+N114</f>
        <v>126400</v>
      </c>
      <c r="P114" s="17" t="n">
        <f aca="false">K114+L114-O114</f>
        <v>1653600</v>
      </c>
      <c r="Q114" s="17" t="n">
        <f aca="false">IF(K114&lt;Parametros_Legales!$C$15,0,K114*Parametros_Legales!$C$8)</f>
        <v>0</v>
      </c>
      <c r="R114" s="17" t="n">
        <f aca="false">K114*Parametros_Legales!$C$10</f>
        <v>189600</v>
      </c>
      <c r="S114" s="17" t="n">
        <f aca="false">K114*Parametros_Legales!$C$12</f>
        <v>63200</v>
      </c>
      <c r="T114" s="17" t="n">
        <f aca="false">K114*Parametros_Legales!$C$16</f>
        <v>131614</v>
      </c>
      <c r="U114" s="17" t="n">
        <f aca="false">K114*Parametros_Legales!$C$18</f>
        <v>131614</v>
      </c>
      <c r="V114" s="17" t="n">
        <f aca="false">K114*Parametros_Legales!$C$19</f>
        <v>65886</v>
      </c>
      <c r="W114" s="17" t="n">
        <f aca="false">K114+L114+Q114+R114+S114+T114+U114+V114</f>
        <v>2361914</v>
      </c>
    </row>
    <row r="115" customFormat="false" ht="15" hidden="false" customHeight="false" outlineLevel="0" collapsed="false">
      <c r="A115" s="14" t="n">
        <v>114</v>
      </c>
      <c r="B115" s="14" t="s">
        <v>385</v>
      </c>
      <c r="C115" s="14" t="s">
        <v>386</v>
      </c>
      <c r="D115" s="14" t="s">
        <v>118</v>
      </c>
      <c r="E115" s="14" t="s">
        <v>98</v>
      </c>
      <c r="F115" s="14" t="s">
        <v>147</v>
      </c>
      <c r="G115" s="21" t="n">
        <v>45202</v>
      </c>
      <c r="H115" s="14" t="s">
        <v>176</v>
      </c>
      <c r="I115" s="14" t="s">
        <v>161</v>
      </c>
      <c r="J115" s="14" t="s">
        <v>154</v>
      </c>
      <c r="K115" s="22" t="n">
        <v>1570000</v>
      </c>
      <c r="L115" s="15" t="n">
        <f aca="false">IF(K115&lt;=2*Parametros_Legales!$C$5,Parametros_Legales!$C$6,0)</f>
        <v>200000</v>
      </c>
      <c r="M115" s="15" t="n">
        <f aca="false">K115*Parametros_Legales!$C$7</f>
        <v>62800</v>
      </c>
      <c r="N115" s="15" t="n">
        <f aca="false">K115*(Parametros_Legales!$C$9+IF(K115&gt;=4*Parametros_Legales!$C$5,Parametros_Legales!$C$11,0))</f>
        <v>62800</v>
      </c>
      <c r="O115" s="15" t="n">
        <f aca="false">M115+N115</f>
        <v>125600</v>
      </c>
      <c r="P115" s="15" t="n">
        <f aca="false">K115+L115-O115</f>
        <v>1644400</v>
      </c>
      <c r="Q115" s="15" t="n">
        <f aca="false">IF(K115&lt;Parametros_Legales!$C$15,0,K115*Parametros_Legales!$C$8)</f>
        <v>0</v>
      </c>
      <c r="R115" s="15" t="n">
        <f aca="false">K115*Parametros_Legales!$C$10</f>
        <v>188400</v>
      </c>
      <c r="S115" s="15" t="n">
        <f aca="false">K115*Parametros_Legales!$C$12</f>
        <v>62800</v>
      </c>
      <c r="T115" s="15" t="n">
        <f aca="false">K115*Parametros_Legales!$C$16</f>
        <v>130781</v>
      </c>
      <c r="U115" s="15" t="n">
        <f aca="false">K115*Parametros_Legales!$C$18</f>
        <v>130781</v>
      </c>
      <c r="V115" s="15" t="n">
        <f aca="false">K115*Parametros_Legales!$C$19</f>
        <v>65469</v>
      </c>
      <c r="W115" s="15" t="n">
        <f aca="false">K115+L115+Q115+R115+S115+T115+U115+V115</f>
        <v>2348231</v>
      </c>
    </row>
    <row r="116" customFormat="false" ht="15" hidden="false" customHeight="false" outlineLevel="0" collapsed="false">
      <c r="A116" s="16" t="n">
        <v>115</v>
      </c>
      <c r="B116" s="16" t="s">
        <v>387</v>
      </c>
      <c r="C116" s="16" t="s">
        <v>388</v>
      </c>
      <c r="D116" s="16" t="s">
        <v>118</v>
      </c>
      <c r="E116" s="16" t="s">
        <v>98</v>
      </c>
      <c r="F116" s="16" t="s">
        <v>147</v>
      </c>
      <c r="G116" s="19" t="n">
        <v>43454</v>
      </c>
      <c r="H116" s="16" t="s">
        <v>176</v>
      </c>
      <c r="I116" s="16" t="s">
        <v>165</v>
      </c>
      <c r="J116" s="16" t="s">
        <v>158</v>
      </c>
      <c r="K116" s="20" t="n">
        <v>1570000</v>
      </c>
      <c r="L116" s="17" t="n">
        <f aca="false">IF(K116&lt;=2*Parametros_Legales!$C$5,Parametros_Legales!$C$6,0)</f>
        <v>200000</v>
      </c>
      <c r="M116" s="17" t="n">
        <f aca="false">K116*Parametros_Legales!$C$7</f>
        <v>62800</v>
      </c>
      <c r="N116" s="17" t="n">
        <f aca="false">K116*(Parametros_Legales!$C$9+IF(K116&gt;=4*Parametros_Legales!$C$5,Parametros_Legales!$C$11,0))</f>
        <v>62800</v>
      </c>
      <c r="O116" s="17" t="n">
        <f aca="false">M116+N116</f>
        <v>125600</v>
      </c>
      <c r="P116" s="17" t="n">
        <f aca="false">K116+L116-O116</f>
        <v>1644400</v>
      </c>
      <c r="Q116" s="17" t="n">
        <f aca="false">IF(K116&lt;Parametros_Legales!$C$15,0,K116*Parametros_Legales!$C$8)</f>
        <v>0</v>
      </c>
      <c r="R116" s="17" t="n">
        <f aca="false">K116*Parametros_Legales!$C$10</f>
        <v>188400</v>
      </c>
      <c r="S116" s="17" t="n">
        <f aca="false">K116*Parametros_Legales!$C$12</f>
        <v>62800</v>
      </c>
      <c r="T116" s="17" t="n">
        <f aca="false">K116*Parametros_Legales!$C$16</f>
        <v>130781</v>
      </c>
      <c r="U116" s="17" t="n">
        <f aca="false">K116*Parametros_Legales!$C$18</f>
        <v>130781</v>
      </c>
      <c r="V116" s="17" t="n">
        <f aca="false">K116*Parametros_Legales!$C$19</f>
        <v>65469</v>
      </c>
      <c r="W116" s="17" t="n">
        <f aca="false">K116+L116+Q116+R116+S116+T116+U116+V116</f>
        <v>2348231</v>
      </c>
    </row>
    <row r="117" customFormat="false" ht="15" hidden="false" customHeight="false" outlineLevel="0" collapsed="false">
      <c r="A117" s="14" t="n">
        <v>116</v>
      </c>
      <c r="B117" s="14" t="s">
        <v>389</v>
      </c>
      <c r="C117" s="14" t="s">
        <v>390</v>
      </c>
      <c r="D117" s="14" t="s">
        <v>118</v>
      </c>
      <c r="E117" s="14" t="s">
        <v>98</v>
      </c>
      <c r="F117" s="14" t="s">
        <v>147</v>
      </c>
      <c r="G117" s="21" t="n">
        <v>43987</v>
      </c>
      <c r="H117" s="14" t="s">
        <v>176</v>
      </c>
      <c r="I117" s="14" t="s">
        <v>149</v>
      </c>
      <c r="J117" s="14" t="s">
        <v>162</v>
      </c>
      <c r="K117" s="22" t="n">
        <v>1490000</v>
      </c>
      <c r="L117" s="15" t="n">
        <f aca="false">IF(K117&lt;=2*Parametros_Legales!$C$5,Parametros_Legales!$C$6,0)</f>
        <v>200000</v>
      </c>
      <c r="M117" s="15" t="n">
        <f aca="false">K117*Parametros_Legales!$C$7</f>
        <v>59600</v>
      </c>
      <c r="N117" s="15" t="n">
        <f aca="false">K117*(Parametros_Legales!$C$9+IF(K117&gt;=4*Parametros_Legales!$C$5,Parametros_Legales!$C$11,0))</f>
        <v>59600</v>
      </c>
      <c r="O117" s="15" t="n">
        <f aca="false">M117+N117</f>
        <v>119200</v>
      </c>
      <c r="P117" s="15" t="n">
        <f aca="false">K117+L117-O117</f>
        <v>1570800</v>
      </c>
      <c r="Q117" s="15" t="n">
        <f aca="false">IF(K117&lt;Parametros_Legales!$C$15,0,K117*Parametros_Legales!$C$8)</f>
        <v>0</v>
      </c>
      <c r="R117" s="15" t="n">
        <f aca="false">K117*Parametros_Legales!$C$10</f>
        <v>178800</v>
      </c>
      <c r="S117" s="15" t="n">
        <f aca="false">K117*Parametros_Legales!$C$12</f>
        <v>59600</v>
      </c>
      <c r="T117" s="15" t="n">
        <f aca="false">K117*Parametros_Legales!$C$16</f>
        <v>124117</v>
      </c>
      <c r="U117" s="15" t="n">
        <f aca="false">K117*Parametros_Legales!$C$18</f>
        <v>124117</v>
      </c>
      <c r="V117" s="15" t="n">
        <f aca="false">K117*Parametros_Legales!$C$19</f>
        <v>62133</v>
      </c>
      <c r="W117" s="15" t="n">
        <f aca="false">K117+L117+Q117+R117+S117+T117+U117+V117</f>
        <v>2238767</v>
      </c>
    </row>
    <row r="118" customFormat="false" ht="15" hidden="false" customHeight="false" outlineLevel="0" collapsed="false">
      <c r="A118" s="16" t="n">
        <v>117</v>
      </c>
      <c r="B118" s="16" t="s">
        <v>391</v>
      </c>
      <c r="C118" s="16" t="s">
        <v>392</v>
      </c>
      <c r="D118" s="16" t="s">
        <v>118</v>
      </c>
      <c r="E118" s="16" t="s">
        <v>98</v>
      </c>
      <c r="F118" s="16" t="s">
        <v>147</v>
      </c>
      <c r="G118" s="19" t="n">
        <v>44016</v>
      </c>
      <c r="H118" s="16" t="s">
        <v>176</v>
      </c>
      <c r="I118" s="16" t="s">
        <v>153</v>
      </c>
      <c r="J118" s="16" t="s">
        <v>150</v>
      </c>
      <c r="K118" s="20" t="n">
        <v>1510000</v>
      </c>
      <c r="L118" s="17" t="n">
        <f aca="false">IF(K118&lt;=2*Parametros_Legales!$C$5,Parametros_Legales!$C$6,0)</f>
        <v>200000</v>
      </c>
      <c r="M118" s="17" t="n">
        <f aca="false">K118*Parametros_Legales!$C$7</f>
        <v>60400</v>
      </c>
      <c r="N118" s="17" t="n">
        <f aca="false">K118*(Parametros_Legales!$C$9+IF(K118&gt;=4*Parametros_Legales!$C$5,Parametros_Legales!$C$11,0))</f>
        <v>60400</v>
      </c>
      <c r="O118" s="17" t="n">
        <f aca="false">M118+N118</f>
        <v>120800</v>
      </c>
      <c r="P118" s="17" t="n">
        <f aca="false">K118+L118-O118</f>
        <v>1589200</v>
      </c>
      <c r="Q118" s="17" t="n">
        <f aca="false">IF(K118&lt;Parametros_Legales!$C$15,0,K118*Parametros_Legales!$C$8)</f>
        <v>0</v>
      </c>
      <c r="R118" s="17" t="n">
        <f aca="false">K118*Parametros_Legales!$C$10</f>
        <v>181200</v>
      </c>
      <c r="S118" s="17" t="n">
        <f aca="false">K118*Parametros_Legales!$C$12</f>
        <v>60400</v>
      </c>
      <c r="T118" s="17" t="n">
        <f aca="false">K118*Parametros_Legales!$C$16</f>
        <v>125783</v>
      </c>
      <c r="U118" s="17" t="n">
        <f aca="false">K118*Parametros_Legales!$C$18</f>
        <v>125783</v>
      </c>
      <c r="V118" s="17" t="n">
        <f aca="false">K118*Parametros_Legales!$C$19</f>
        <v>62967</v>
      </c>
      <c r="W118" s="17" t="n">
        <f aca="false">K118+L118+Q118+R118+S118+T118+U118+V118</f>
        <v>2266133</v>
      </c>
    </row>
    <row r="119" customFormat="false" ht="15" hidden="false" customHeight="false" outlineLevel="0" collapsed="false">
      <c r="A119" s="14" t="n">
        <v>118</v>
      </c>
      <c r="B119" s="14" t="s">
        <v>393</v>
      </c>
      <c r="C119" s="14" t="s">
        <v>394</v>
      </c>
      <c r="D119" s="14" t="s">
        <v>118</v>
      </c>
      <c r="E119" s="14" t="s">
        <v>98</v>
      </c>
      <c r="F119" s="14" t="s">
        <v>147</v>
      </c>
      <c r="G119" s="21" t="n">
        <v>44845</v>
      </c>
      <c r="H119" s="14" t="s">
        <v>176</v>
      </c>
      <c r="I119" s="14" t="s">
        <v>157</v>
      </c>
      <c r="J119" s="14" t="s">
        <v>154</v>
      </c>
      <c r="K119" s="22" t="n">
        <v>1580000</v>
      </c>
      <c r="L119" s="15" t="n">
        <f aca="false">IF(K119&lt;=2*Parametros_Legales!$C$5,Parametros_Legales!$C$6,0)</f>
        <v>200000</v>
      </c>
      <c r="M119" s="15" t="n">
        <f aca="false">K119*Parametros_Legales!$C$7</f>
        <v>63200</v>
      </c>
      <c r="N119" s="15" t="n">
        <f aca="false">K119*(Parametros_Legales!$C$9+IF(K119&gt;=4*Parametros_Legales!$C$5,Parametros_Legales!$C$11,0))</f>
        <v>63200</v>
      </c>
      <c r="O119" s="15" t="n">
        <f aca="false">M119+N119</f>
        <v>126400</v>
      </c>
      <c r="P119" s="15" t="n">
        <f aca="false">K119+L119-O119</f>
        <v>1653600</v>
      </c>
      <c r="Q119" s="15" t="n">
        <f aca="false">IF(K119&lt;Parametros_Legales!$C$15,0,K119*Parametros_Legales!$C$8)</f>
        <v>0</v>
      </c>
      <c r="R119" s="15" t="n">
        <f aca="false">K119*Parametros_Legales!$C$10</f>
        <v>189600</v>
      </c>
      <c r="S119" s="15" t="n">
        <f aca="false">K119*Parametros_Legales!$C$12</f>
        <v>63200</v>
      </c>
      <c r="T119" s="15" t="n">
        <f aca="false">K119*Parametros_Legales!$C$16</f>
        <v>131614</v>
      </c>
      <c r="U119" s="15" t="n">
        <f aca="false">K119*Parametros_Legales!$C$18</f>
        <v>131614</v>
      </c>
      <c r="V119" s="15" t="n">
        <f aca="false">K119*Parametros_Legales!$C$19</f>
        <v>65886</v>
      </c>
      <c r="W119" s="15" t="n">
        <f aca="false">K119+L119+Q119+R119+S119+T119+U119+V119</f>
        <v>2361914</v>
      </c>
    </row>
    <row r="120" customFormat="false" ht="15" hidden="false" customHeight="false" outlineLevel="0" collapsed="false">
      <c r="A120" s="16" t="n">
        <v>119</v>
      </c>
      <c r="B120" s="16" t="s">
        <v>395</v>
      </c>
      <c r="C120" s="16" t="s">
        <v>396</v>
      </c>
      <c r="D120" s="16" t="s">
        <v>118</v>
      </c>
      <c r="E120" s="16" t="s">
        <v>98</v>
      </c>
      <c r="F120" s="16" t="s">
        <v>147</v>
      </c>
      <c r="G120" s="19" t="n">
        <v>44445</v>
      </c>
      <c r="H120" s="16" t="s">
        <v>176</v>
      </c>
      <c r="I120" s="16" t="s">
        <v>161</v>
      </c>
      <c r="J120" s="16" t="s">
        <v>158</v>
      </c>
      <c r="K120" s="20" t="n">
        <v>1460000</v>
      </c>
      <c r="L120" s="17" t="n">
        <f aca="false">IF(K120&lt;=2*Parametros_Legales!$C$5,Parametros_Legales!$C$6,0)</f>
        <v>200000</v>
      </c>
      <c r="M120" s="17" t="n">
        <f aca="false">K120*Parametros_Legales!$C$7</f>
        <v>58400</v>
      </c>
      <c r="N120" s="17" t="n">
        <f aca="false">K120*(Parametros_Legales!$C$9+IF(K120&gt;=4*Parametros_Legales!$C$5,Parametros_Legales!$C$11,0))</f>
        <v>58400</v>
      </c>
      <c r="O120" s="17" t="n">
        <f aca="false">M120+N120</f>
        <v>116800</v>
      </c>
      <c r="P120" s="17" t="n">
        <f aca="false">K120+L120-O120</f>
        <v>1543200</v>
      </c>
      <c r="Q120" s="17" t="n">
        <f aca="false">IF(K120&lt;Parametros_Legales!$C$15,0,K120*Parametros_Legales!$C$8)</f>
        <v>0</v>
      </c>
      <c r="R120" s="17" t="n">
        <f aca="false">K120*Parametros_Legales!$C$10</f>
        <v>175200</v>
      </c>
      <c r="S120" s="17" t="n">
        <f aca="false">K120*Parametros_Legales!$C$12</f>
        <v>58400</v>
      </c>
      <c r="T120" s="17" t="n">
        <f aca="false">K120*Parametros_Legales!$C$16</f>
        <v>121618</v>
      </c>
      <c r="U120" s="17" t="n">
        <f aca="false">K120*Parametros_Legales!$C$18</f>
        <v>121618</v>
      </c>
      <c r="V120" s="17" t="n">
        <f aca="false">K120*Parametros_Legales!$C$19</f>
        <v>60882</v>
      </c>
      <c r="W120" s="17" t="n">
        <f aca="false">K120+L120+Q120+R120+S120+T120+U120+V120</f>
        <v>2197718</v>
      </c>
    </row>
    <row r="121" customFormat="false" ht="15" hidden="false" customHeight="false" outlineLevel="0" collapsed="false">
      <c r="A121" s="14" t="n">
        <v>120</v>
      </c>
      <c r="B121" s="14" t="s">
        <v>397</v>
      </c>
      <c r="C121" s="14" t="s">
        <v>398</v>
      </c>
      <c r="D121" s="14" t="s">
        <v>118</v>
      </c>
      <c r="E121" s="14" t="s">
        <v>98</v>
      </c>
      <c r="F121" s="14" t="s">
        <v>147</v>
      </c>
      <c r="G121" s="21" t="n">
        <v>44866</v>
      </c>
      <c r="H121" s="14" t="s">
        <v>176</v>
      </c>
      <c r="I121" s="14" t="s">
        <v>165</v>
      </c>
      <c r="J121" s="14" t="s">
        <v>162</v>
      </c>
      <c r="K121" s="22" t="n">
        <v>1450000</v>
      </c>
      <c r="L121" s="15" t="n">
        <f aca="false">IF(K121&lt;=2*Parametros_Legales!$C$5,Parametros_Legales!$C$6,0)</f>
        <v>200000</v>
      </c>
      <c r="M121" s="15" t="n">
        <f aca="false">K121*Parametros_Legales!$C$7</f>
        <v>58000</v>
      </c>
      <c r="N121" s="15" t="n">
        <f aca="false">K121*(Parametros_Legales!$C$9+IF(K121&gt;=4*Parametros_Legales!$C$5,Parametros_Legales!$C$11,0))</f>
        <v>58000</v>
      </c>
      <c r="O121" s="15" t="n">
        <f aca="false">M121+N121</f>
        <v>116000</v>
      </c>
      <c r="P121" s="15" t="n">
        <f aca="false">K121+L121-O121</f>
        <v>1534000</v>
      </c>
      <c r="Q121" s="15" t="n">
        <f aca="false">IF(K121&lt;Parametros_Legales!$C$15,0,K121*Parametros_Legales!$C$8)</f>
        <v>0</v>
      </c>
      <c r="R121" s="15" t="n">
        <f aca="false">K121*Parametros_Legales!$C$10</f>
        <v>174000</v>
      </c>
      <c r="S121" s="15" t="n">
        <f aca="false">K121*Parametros_Legales!$C$12</f>
        <v>58000</v>
      </c>
      <c r="T121" s="15" t="n">
        <f aca="false">K121*Parametros_Legales!$C$16</f>
        <v>120785</v>
      </c>
      <c r="U121" s="15" t="n">
        <f aca="false">K121*Parametros_Legales!$C$18</f>
        <v>120785</v>
      </c>
      <c r="V121" s="15" t="n">
        <f aca="false">K121*Parametros_Legales!$C$19</f>
        <v>60465</v>
      </c>
      <c r="W121" s="15" t="n">
        <f aca="false">K121+L121+Q121+R121+S121+T121+U121+V121</f>
        <v>2184035</v>
      </c>
    </row>
    <row r="122" customFormat="false" ht="15" hidden="false" customHeight="false" outlineLevel="0" collapsed="false">
      <c r="A122" s="16" t="n">
        <v>121</v>
      </c>
      <c r="B122" s="16" t="s">
        <v>399</v>
      </c>
      <c r="C122" s="16" t="s">
        <v>400</v>
      </c>
      <c r="D122" s="16" t="s">
        <v>118</v>
      </c>
      <c r="E122" s="16" t="s">
        <v>98</v>
      </c>
      <c r="F122" s="16" t="s">
        <v>147</v>
      </c>
      <c r="G122" s="19" t="n">
        <v>43939</v>
      </c>
      <c r="H122" s="16" t="s">
        <v>176</v>
      </c>
      <c r="I122" s="16" t="s">
        <v>149</v>
      </c>
      <c r="J122" s="16" t="s">
        <v>150</v>
      </c>
      <c r="K122" s="20" t="n">
        <v>1490000</v>
      </c>
      <c r="L122" s="17" t="n">
        <f aca="false">IF(K122&lt;=2*Parametros_Legales!$C$5,Parametros_Legales!$C$6,0)</f>
        <v>200000</v>
      </c>
      <c r="M122" s="17" t="n">
        <f aca="false">K122*Parametros_Legales!$C$7</f>
        <v>59600</v>
      </c>
      <c r="N122" s="17" t="n">
        <f aca="false">K122*(Parametros_Legales!$C$9+IF(K122&gt;=4*Parametros_Legales!$C$5,Parametros_Legales!$C$11,0))</f>
        <v>59600</v>
      </c>
      <c r="O122" s="17" t="n">
        <f aca="false">M122+N122</f>
        <v>119200</v>
      </c>
      <c r="P122" s="17" t="n">
        <f aca="false">K122+L122-O122</f>
        <v>1570800</v>
      </c>
      <c r="Q122" s="17" t="n">
        <f aca="false">IF(K122&lt;Parametros_Legales!$C$15,0,K122*Parametros_Legales!$C$8)</f>
        <v>0</v>
      </c>
      <c r="R122" s="17" t="n">
        <f aca="false">K122*Parametros_Legales!$C$10</f>
        <v>178800</v>
      </c>
      <c r="S122" s="17" t="n">
        <f aca="false">K122*Parametros_Legales!$C$12</f>
        <v>59600</v>
      </c>
      <c r="T122" s="17" t="n">
        <f aca="false">K122*Parametros_Legales!$C$16</f>
        <v>124117</v>
      </c>
      <c r="U122" s="17" t="n">
        <f aca="false">K122*Parametros_Legales!$C$18</f>
        <v>124117</v>
      </c>
      <c r="V122" s="17" t="n">
        <f aca="false">K122*Parametros_Legales!$C$19</f>
        <v>62133</v>
      </c>
      <c r="W122" s="17" t="n">
        <f aca="false">K122+L122+Q122+R122+S122+T122+U122+V122</f>
        <v>2238767</v>
      </c>
    </row>
    <row r="123" customFormat="false" ht="15" hidden="false" customHeight="false" outlineLevel="0" collapsed="false">
      <c r="A123" s="14" t="n">
        <v>122</v>
      </c>
      <c r="B123" s="14" t="s">
        <v>401</v>
      </c>
      <c r="C123" s="14" t="s">
        <v>402</v>
      </c>
      <c r="D123" s="14" t="s">
        <v>118</v>
      </c>
      <c r="E123" s="14" t="s">
        <v>98</v>
      </c>
      <c r="F123" s="14" t="s">
        <v>147</v>
      </c>
      <c r="G123" s="21" t="n">
        <v>44368</v>
      </c>
      <c r="H123" s="14" t="s">
        <v>176</v>
      </c>
      <c r="I123" s="14" t="s">
        <v>153</v>
      </c>
      <c r="J123" s="14" t="s">
        <v>154</v>
      </c>
      <c r="K123" s="22" t="n">
        <v>1530000</v>
      </c>
      <c r="L123" s="15" t="n">
        <f aca="false">IF(K123&lt;=2*Parametros_Legales!$C$5,Parametros_Legales!$C$6,0)</f>
        <v>200000</v>
      </c>
      <c r="M123" s="15" t="n">
        <f aca="false">K123*Parametros_Legales!$C$7</f>
        <v>61200</v>
      </c>
      <c r="N123" s="15" t="n">
        <f aca="false">K123*(Parametros_Legales!$C$9+IF(K123&gt;=4*Parametros_Legales!$C$5,Parametros_Legales!$C$11,0))</f>
        <v>61200</v>
      </c>
      <c r="O123" s="15" t="n">
        <f aca="false">M123+N123</f>
        <v>122400</v>
      </c>
      <c r="P123" s="15" t="n">
        <f aca="false">K123+L123-O123</f>
        <v>1607600</v>
      </c>
      <c r="Q123" s="15" t="n">
        <f aca="false">IF(K123&lt;Parametros_Legales!$C$15,0,K123*Parametros_Legales!$C$8)</f>
        <v>0</v>
      </c>
      <c r="R123" s="15" t="n">
        <f aca="false">K123*Parametros_Legales!$C$10</f>
        <v>183600</v>
      </c>
      <c r="S123" s="15" t="n">
        <f aca="false">K123*Parametros_Legales!$C$12</f>
        <v>61200</v>
      </c>
      <c r="T123" s="15" t="n">
        <f aca="false">K123*Parametros_Legales!$C$16</f>
        <v>127449</v>
      </c>
      <c r="U123" s="15" t="n">
        <f aca="false">K123*Parametros_Legales!$C$18</f>
        <v>127449</v>
      </c>
      <c r="V123" s="15" t="n">
        <f aca="false">K123*Parametros_Legales!$C$19</f>
        <v>63801</v>
      </c>
      <c r="W123" s="15" t="n">
        <f aca="false">K123+L123+Q123+R123+S123+T123+U123+V123</f>
        <v>2293499</v>
      </c>
    </row>
    <row r="124" customFormat="false" ht="15" hidden="false" customHeight="false" outlineLevel="0" collapsed="false">
      <c r="A124" s="16" t="n">
        <v>123</v>
      </c>
      <c r="B124" s="16" t="s">
        <v>403</v>
      </c>
      <c r="C124" s="16" t="s">
        <v>404</v>
      </c>
      <c r="D124" s="16" t="s">
        <v>118</v>
      </c>
      <c r="E124" s="16" t="s">
        <v>98</v>
      </c>
      <c r="F124" s="16" t="s">
        <v>147</v>
      </c>
      <c r="G124" s="19" t="n">
        <v>43508</v>
      </c>
      <c r="H124" s="16" t="s">
        <v>176</v>
      </c>
      <c r="I124" s="16" t="s">
        <v>157</v>
      </c>
      <c r="J124" s="16" t="s">
        <v>158</v>
      </c>
      <c r="K124" s="20" t="n">
        <v>1480000</v>
      </c>
      <c r="L124" s="17" t="n">
        <f aca="false">IF(K124&lt;=2*Parametros_Legales!$C$5,Parametros_Legales!$C$6,0)</f>
        <v>200000</v>
      </c>
      <c r="M124" s="17" t="n">
        <f aca="false">K124*Parametros_Legales!$C$7</f>
        <v>59200</v>
      </c>
      <c r="N124" s="17" t="n">
        <f aca="false">K124*(Parametros_Legales!$C$9+IF(K124&gt;=4*Parametros_Legales!$C$5,Parametros_Legales!$C$11,0))</f>
        <v>59200</v>
      </c>
      <c r="O124" s="17" t="n">
        <f aca="false">M124+N124</f>
        <v>118400</v>
      </c>
      <c r="P124" s="17" t="n">
        <f aca="false">K124+L124-O124</f>
        <v>1561600</v>
      </c>
      <c r="Q124" s="17" t="n">
        <f aca="false">IF(K124&lt;Parametros_Legales!$C$15,0,K124*Parametros_Legales!$C$8)</f>
        <v>0</v>
      </c>
      <c r="R124" s="17" t="n">
        <f aca="false">K124*Parametros_Legales!$C$10</f>
        <v>177600</v>
      </c>
      <c r="S124" s="17" t="n">
        <f aca="false">K124*Parametros_Legales!$C$12</f>
        <v>59200</v>
      </c>
      <c r="T124" s="17" t="n">
        <f aca="false">K124*Parametros_Legales!$C$16</f>
        <v>123284</v>
      </c>
      <c r="U124" s="17" t="n">
        <f aca="false">K124*Parametros_Legales!$C$18</f>
        <v>123284</v>
      </c>
      <c r="V124" s="17" t="n">
        <f aca="false">K124*Parametros_Legales!$C$19</f>
        <v>61716</v>
      </c>
      <c r="W124" s="17" t="n">
        <f aca="false">K124+L124+Q124+R124+S124+T124+U124+V124</f>
        <v>2225084</v>
      </c>
    </row>
    <row r="125" customFormat="false" ht="15" hidden="false" customHeight="false" outlineLevel="0" collapsed="false">
      <c r="A125" s="14" t="n">
        <v>124</v>
      </c>
      <c r="B125" s="14" t="s">
        <v>405</v>
      </c>
      <c r="C125" s="14" t="s">
        <v>406</v>
      </c>
      <c r="D125" s="14" t="s">
        <v>118</v>
      </c>
      <c r="E125" s="14" t="s">
        <v>98</v>
      </c>
      <c r="F125" s="14" t="s">
        <v>147</v>
      </c>
      <c r="G125" s="21" t="n">
        <v>45066</v>
      </c>
      <c r="H125" s="14" t="s">
        <v>176</v>
      </c>
      <c r="I125" s="14" t="s">
        <v>161</v>
      </c>
      <c r="J125" s="14" t="s">
        <v>162</v>
      </c>
      <c r="K125" s="22" t="n">
        <v>1570000</v>
      </c>
      <c r="L125" s="15" t="n">
        <f aca="false">IF(K125&lt;=2*Parametros_Legales!$C$5,Parametros_Legales!$C$6,0)</f>
        <v>200000</v>
      </c>
      <c r="M125" s="15" t="n">
        <f aca="false">K125*Parametros_Legales!$C$7</f>
        <v>62800</v>
      </c>
      <c r="N125" s="15" t="n">
        <f aca="false">K125*(Parametros_Legales!$C$9+IF(K125&gt;=4*Parametros_Legales!$C$5,Parametros_Legales!$C$11,0))</f>
        <v>62800</v>
      </c>
      <c r="O125" s="15" t="n">
        <f aca="false">M125+N125</f>
        <v>125600</v>
      </c>
      <c r="P125" s="15" t="n">
        <f aca="false">K125+L125-O125</f>
        <v>1644400</v>
      </c>
      <c r="Q125" s="15" t="n">
        <f aca="false">IF(K125&lt;Parametros_Legales!$C$15,0,K125*Parametros_Legales!$C$8)</f>
        <v>0</v>
      </c>
      <c r="R125" s="15" t="n">
        <f aca="false">K125*Parametros_Legales!$C$10</f>
        <v>188400</v>
      </c>
      <c r="S125" s="15" t="n">
        <f aca="false">K125*Parametros_Legales!$C$12</f>
        <v>62800</v>
      </c>
      <c r="T125" s="15" t="n">
        <f aca="false">K125*Parametros_Legales!$C$16</f>
        <v>130781</v>
      </c>
      <c r="U125" s="15" t="n">
        <f aca="false">K125*Parametros_Legales!$C$18</f>
        <v>130781</v>
      </c>
      <c r="V125" s="15" t="n">
        <f aca="false">K125*Parametros_Legales!$C$19</f>
        <v>65469</v>
      </c>
      <c r="W125" s="15" t="n">
        <f aca="false">K125+L125+Q125+R125+S125+T125+U125+V125</f>
        <v>2348231</v>
      </c>
    </row>
    <row r="126" customFormat="false" ht="15" hidden="false" customHeight="false" outlineLevel="0" collapsed="false">
      <c r="A126" s="16" t="n">
        <v>125</v>
      </c>
      <c r="B126" s="16" t="s">
        <v>407</v>
      </c>
      <c r="C126" s="16" t="s">
        <v>408</v>
      </c>
      <c r="D126" s="16" t="s">
        <v>118</v>
      </c>
      <c r="E126" s="16" t="s">
        <v>98</v>
      </c>
      <c r="F126" s="16" t="s">
        <v>147</v>
      </c>
      <c r="G126" s="19" t="n">
        <v>43419</v>
      </c>
      <c r="H126" s="16" t="s">
        <v>176</v>
      </c>
      <c r="I126" s="16" t="s">
        <v>165</v>
      </c>
      <c r="J126" s="16" t="s">
        <v>150</v>
      </c>
      <c r="K126" s="20" t="n">
        <v>1540000</v>
      </c>
      <c r="L126" s="17" t="n">
        <f aca="false">IF(K126&lt;=2*Parametros_Legales!$C$5,Parametros_Legales!$C$6,0)</f>
        <v>200000</v>
      </c>
      <c r="M126" s="17" t="n">
        <f aca="false">K126*Parametros_Legales!$C$7</f>
        <v>61600</v>
      </c>
      <c r="N126" s="17" t="n">
        <f aca="false">K126*(Parametros_Legales!$C$9+IF(K126&gt;=4*Parametros_Legales!$C$5,Parametros_Legales!$C$11,0))</f>
        <v>61600</v>
      </c>
      <c r="O126" s="17" t="n">
        <f aca="false">M126+N126</f>
        <v>123200</v>
      </c>
      <c r="P126" s="17" t="n">
        <f aca="false">K126+L126-O126</f>
        <v>1616800</v>
      </c>
      <c r="Q126" s="17" t="n">
        <f aca="false">IF(K126&lt;Parametros_Legales!$C$15,0,K126*Parametros_Legales!$C$8)</f>
        <v>0</v>
      </c>
      <c r="R126" s="17" t="n">
        <f aca="false">K126*Parametros_Legales!$C$10</f>
        <v>184800</v>
      </c>
      <c r="S126" s="17" t="n">
        <f aca="false">K126*Parametros_Legales!$C$12</f>
        <v>61600</v>
      </c>
      <c r="T126" s="17" t="n">
        <f aca="false">K126*Parametros_Legales!$C$16</f>
        <v>128282</v>
      </c>
      <c r="U126" s="17" t="n">
        <f aca="false">K126*Parametros_Legales!$C$18</f>
        <v>128282</v>
      </c>
      <c r="V126" s="17" t="n">
        <f aca="false">K126*Parametros_Legales!$C$19</f>
        <v>64218</v>
      </c>
      <c r="W126" s="17" t="n">
        <f aca="false">K126+L126+Q126+R126+S126+T126+U126+V126</f>
        <v>2307182</v>
      </c>
    </row>
    <row r="127" customFormat="false" ht="15" hidden="false" customHeight="false" outlineLevel="0" collapsed="false">
      <c r="A127" s="14" t="n">
        <v>126</v>
      </c>
      <c r="B127" s="14" t="s">
        <v>409</v>
      </c>
      <c r="C127" s="14" t="s">
        <v>410</v>
      </c>
      <c r="D127" s="14" t="s">
        <v>118</v>
      </c>
      <c r="E127" s="14" t="s">
        <v>98</v>
      </c>
      <c r="F127" s="14" t="s">
        <v>147</v>
      </c>
      <c r="G127" s="21" t="n">
        <v>45596</v>
      </c>
      <c r="H127" s="14" t="s">
        <v>176</v>
      </c>
      <c r="I127" s="14" t="s">
        <v>149</v>
      </c>
      <c r="J127" s="14" t="s">
        <v>154</v>
      </c>
      <c r="K127" s="22" t="n">
        <v>1560000</v>
      </c>
      <c r="L127" s="15" t="n">
        <f aca="false">IF(K127&lt;=2*Parametros_Legales!$C$5,Parametros_Legales!$C$6,0)</f>
        <v>200000</v>
      </c>
      <c r="M127" s="15" t="n">
        <f aca="false">K127*Parametros_Legales!$C$7</f>
        <v>62400</v>
      </c>
      <c r="N127" s="15" t="n">
        <f aca="false">K127*(Parametros_Legales!$C$9+IF(K127&gt;=4*Parametros_Legales!$C$5,Parametros_Legales!$C$11,0))</f>
        <v>62400</v>
      </c>
      <c r="O127" s="15" t="n">
        <f aca="false">M127+N127</f>
        <v>124800</v>
      </c>
      <c r="P127" s="15" t="n">
        <f aca="false">K127+L127-O127</f>
        <v>1635200</v>
      </c>
      <c r="Q127" s="15" t="n">
        <f aca="false">IF(K127&lt;Parametros_Legales!$C$15,0,K127*Parametros_Legales!$C$8)</f>
        <v>0</v>
      </c>
      <c r="R127" s="15" t="n">
        <f aca="false">K127*Parametros_Legales!$C$10</f>
        <v>187200</v>
      </c>
      <c r="S127" s="15" t="n">
        <f aca="false">K127*Parametros_Legales!$C$12</f>
        <v>62400</v>
      </c>
      <c r="T127" s="15" t="n">
        <f aca="false">K127*Parametros_Legales!$C$16</f>
        <v>129948</v>
      </c>
      <c r="U127" s="15" t="n">
        <f aca="false">K127*Parametros_Legales!$C$18</f>
        <v>129948</v>
      </c>
      <c r="V127" s="15" t="n">
        <f aca="false">K127*Parametros_Legales!$C$19</f>
        <v>65052</v>
      </c>
      <c r="W127" s="15" t="n">
        <f aca="false">K127+L127+Q127+R127+S127+T127+U127+V127</f>
        <v>2334548</v>
      </c>
    </row>
    <row r="128" customFormat="false" ht="15" hidden="false" customHeight="false" outlineLevel="0" collapsed="false">
      <c r="A128" s="16" t="n">
        <v>127</v>
      </c>
      <c r="B128" s="16" t="s">
        <v>411</v>
      </c>
      <c r="C128" s="16" t="s">
        <v>412</v>
      </c>
      <c r="D128" s="16" t="s">
        <v>119</v>
      </c>
      <c r="E128" s="16" t="s">
        <v>98</v>
      </c>
      <c r="F128" s="16" t="s">
        <v>147</v>
      </c>
      <c r="G128" s="19" t="n">
        <v>44103</v>
      </c>
      <c r="H128" s="16" t="s">
        <v>179</v>
      </c>
      <c r="I128" s="16" t="s">
        <v>153</v>
      </c>
      <c r="J128" s="16" t="s">
        <v>158</v>
      </c>
      <c r="K128" s="20" t="n">
        <v>1730000</v>
      </c>
      <c r="L128" s="17" t="n">
        <f aca="false">IF(K128&lt;=2*Parametros_Legales!$C$5,Parametros_Legales!$C$6,0)</f>
        <v>200000</v>
      </c>
      <c r="M128" s="17" t="n">
        <f aca="false">K128*Parametros_Legales!$C$7</f>
        <v>69200</v>
      </c>
      <c r="N128" s="17" t="n">
        <f aca="false">K128*(Parametros_Legales!$C$9+IF(K128&gt;=4*Parametros_Legales!$C$5,Parametros_Legales!$C$11,0))</f>
        <v>69200</v>
      </c>
      <c r="O128" s="17" t="n">
        <f aca="false">M128+N128</f>
        <v>138400</v>
      </c>
      <c r="P128" s="17" t="n">
        <f aca="false">K128+L128-O128</f>
        <v>1791600</v>
      </c>
      <c r="Q128" s="17" t="n">
        <f aca="false">IF(K128&lt;Parametros_Legales!$C$15,0,K128*Parametros_Legales!$C$8)</f>
        <v>0</v>
      </c>
      <c r="R128" s="17" t="n">
        <f aca="false">K128*Parametros_Legales!$C$10</f>
        <v>207600</v>
      </c>
      <c r="S128" s="17" t="n">
        <f aca="false">K128*Parametros_Legales!$C$12</f>
        <v>69200</v>
      </c>
      <c r="T128" s="17" t="n">
        <f aca="false">K128*Parametros_Legales!$C$16</f>
        <v>144109</v>
      </c>
      <c r="U128" s="17" t="n">
        <f aca="false">K128*Parametros_Legales!$C$18</f>
        <v>144109</v>
      </c>
      <c r="V128" s="17" t="n">
        <f aca="false">K128*Parametros_Legales!$C$19</f>
        <v>72141</v>
      </c>
      <c r="W128" s="17" t="n">
        <f aca="false">K128+L128+Q128+R128+S128+T128+U128+V128</f>
        <v>2567159</v>
      </c>
    </row>
    <row r="129" customFormat="false" ht="15" hidden="false" customHeight="false" outlineLevel="0" collapsed="false">
      <c r="A129" s="14" t="n">
        <v>128</v>
      </c>
      <c r="B129" s="14" t="s">
        <v>413</v>
      </c>
      <c r="C129" s="14" t="s">
        <v>414</v>
      </c>
      <c r="D129" s="14" t="s">
        <v>119</v>
      </c>
      <c r="E129" s="14" t="s">
        <v>98</v>
      </c>
      <c r="F129" s="14" t="s">
        <v>147</v>
      </c>
      <c r="G129" s="21" t="n">
        <v>43741</v>
      </c>
      <c r="H129" s="14" t="s">
        <v>179</v>
      </c>
      <c r="I129" s="14" t="s">
        <v>157</v>
      </c>
      <c r="J129" s="14" t="s">
        <v>162</v>
      </c>
      <c r="K129" s="22" t="n">
        <v>1750000</v>
      </c>
      <c r="L129" s="15" t="n">
        <f aca="false">IF(K129&lt;=2*Parametros_Legales!$C$5,Parametros_Legales!$C$6,0)</f>
        <v>200000</v>
      </c>
      <c r="M129" s="15" t="n">
        <f aca="false">K129*Parametros_Legales!$C$7</f>
        <v>70000</v>
      </c>
      <c r="N129" s="15" t="n">
        <f aca="false">K129*(Parametros_Legales!$C$9+IF(K129&gt;=4*Parametros_Legales!$C$5,Parametros_Legales!$C$11,0))</f>
        <v>70000</v>
      </c>
      <c r="O129" s="15" t="n">
        <f aca="false">M129+N129</f>
        <v>140000</v>
      </c>
      <c r="P129" s="15" t="n">
        <f aca="false">K129+L129-O129</f>
        <v>1810000</v>
      </c>
      <c r="Q129" s="15" t="n">
        <f aca="false">IF(K129&lt;Parametros_Legales!$C$15,0,K129*Parametros_Legales!$C$8)</f>
        <v>0</v>
      </c>
      <c r="R129" s="15" t="n">
        <f aca="false">K129*Parametros_Legales!$C$10</f>
        <v>210000</v>
      </c>
      <c r="S129" s="15" t="n">
        <f aca="false">K129*Parametros_Legales!$C$12</f>
        <v>70000</v>
      </c>
      <c r="T129" s="15" t="n">
        <f aca="false">K129*Parametros_Legales!$C$16</f>
        <v>145775</v>
      </c>
      <c r="U129" s="15" t="n">
        <f aca="false">K129*Parametros_Legales!$C$18</f>
        <v>145775</v>
      </c>
      <c r="V129" s="15" t="n">
        <f aca="false">K129*Parametros_Legales!$C$19</f>
        <v>72975</v>
      </c>
      <c r="W129" s="15" t="n">
        <f aca="false">K129+L129+Q129+R129+S129+T129+U129+V129</f>
        <v>2594525</v>
      </c>
    </row>
    <row r="130" customFormat="false" ht="15" hidden="false" customHeight="false" outlineLevel="0" collapsed="false">
      <c r="A130" s="16" t="n">
        <v>129</v>
      </c>
      <c r="B130" s="16" t="s">
        <v>415</v>
      </c>
      <c r="C130" s="16" t="s">
        <v>416</v>
      </c>
      <c r="D130" s="16" t="s">
        <v>119</v>
      </c>
      <c r="E130" s="16" t="s">
        <v>98</v>
      </c>
      <c r="F130" s="16" t="s">
        <v>147</v>
      </c>
      <c r="G130" s="19" t="n">
        <v>43974</v>
      </c>
      <c r="H130" s="16" t="s">
        <v>179</v>
      </c>
      <c r="I130" s="16" t="s">
        <v>161</v>
      </c>
      <c r="J130" s="16" t="s">
        <v>150</v>
      </c>
      <c r="K130" s="20" t="n">
        <v>1850000</v>
      </c>
      <c r="L130" s="17" t="n">
        <f aca="false">IF(K130&lt;=2*Parametros_Legales!$C$5,Parametros_Legales!$C$6,0)</f>
        <v>200000</v>
      </c>
      <c r="M130" s="17" t="n">
        <f aca="false">K130*Parametros_Legales!$C$7</f>
        <v>74000</v>
      </c>
      <c r="N130" s="17" t="n">
        <f aca="false">K130*(Parametros_Legales!$C$9+IF(K130&gt;=4*Parametros_Legales!$C$5,Parametros_Legales!$C$11,0))</f>
        <v>74000</v>
      </c>
      <c r="O130" s="17" t="n">
        <f aca="false">M130+N130</f>
        <v>148000</v>
      </c>
      <c r="P130" s="17" t="n">
        <f aca="false">K130+L130-O130</f>
        <v>1902000</v>
      </c>
      <c r="Q130" s="17" t="n">
        <f aca="false">IF(K130&lt;Parametros_Legales!$C$15,0,K130*Parametros_Legales!$C$8)</f>
        <v>0</v>
      </c>
      <c r="R130" s="17" t="n">
        <f aca="false">K130*Parametros_Legales!$C$10</f>
        <v>222000</v>
      </c>
      <c r="S130" s="17" t="n">
        <f aca="false">K130*Parametros_Legales!$C$12</f>
        <v>74000</v>
      </c>
      <c r="T130" s="17" t="n">
        <f aca="false">K130*Parametros_Legales!$C$16</f>
        <v>154105</v>
      </c>
      <c r="U130" s="17" t="n">
        <f aca="false">K130*Parametros_Legales!$C$18</f>
        <v>154105</v>
      </c>
      <c r="V130" s="17" t="n">
        <f aca="false">K130*Parametros_Legales!$C$19</f>
        <v>77145</v>
      </c>
      <c r="W130" s="17" t="n">
        <f aca="false">K130+L130+Q130+R130+S130+T130+U130+V130</f>
        <v>2731355</v>
      </c>
    </row>
    <row r="131" customFormat="false" ht="15" hidden="false" customHeight="false" outlineLevel="0" collapsed="false">
      <c r="A131" s="14" t="n">
        <v>130</v>
      </c>
      <c r="B131" s="14" t="s">
        <v>417</v>
      </c>
      <c r="C131" s="14" t="s">
        <v>418</v>
      </c>
      <c r="D131" s="14" t="s">
        <v>119</v>
      </c>
      <c r="E131" s="14" t="s">
        <v>98</v>
      </c>
      <c r="F131" s="14" t="s">
        <v>147</v>
      </c>
      <c r="G131" s="21" t="n">
        <v>44032</v>
      </c>
      <c r="H131" s="14" t="s">
        <v>179</v>
      </c>
      <c r="I131" s="14" t="s">
        <v>165</v>
      </c>
      <c r="J131" s="14" t="s">
        <v>154</v>
      </c>
      <c r="K131" s="22" t="n">
        <v>1780000</v>
      </c>
      <c r="L131" s="15" t="n">
        <f aca="false">IF(K131&lt;=2*Parametros_Legales!$C$5,Parametros_Legales!$C$6,0)</f>
        <v>200000</v>
      </c>
      <c r="M131" s="15" t="n">
        <f aca="false">K131*Parametros_Legales!$C$7</f>
        <v>71200</v>
      </c>
      <c r="N131" s="15" t="n">
        <f aca="false">K131*(Parametros_Legales!$C$9+IF(K131&gt;=4*Parametros_Legales!$C$5,Parametros_Legales!$C$11,0))</f>
        <v>71200</v>
      </c>
      <c r="O131" s="15" t="n">
        <f aca="false">M131+N131</f>
        <v>142400</v>
      </c>
      <c r="P131" s="15" t="n">
        <f aca="false">K131+L131-O131</f>
        <v>1837600</v>
      </c>
      <c r="Q131" s="15" t="n">
        <f aca="false">IF(K131&lt;Parametros_Legales!$C$15,0,K131*Parametros_Legales!$C$8)</f>
        <v>0</v>
      </c>
      <c r="R131" s="15" t="n">
        <f aca="false">K131*Parametros_Legales!$C$10</f>
        <v>213600</v>
      </c>
      <c r="S131" s="15" t="n">
        <f aca="false">K131*Parametros_Legales!$C$12</f>
        <v>71200</v>
      </c>
      <c r="T131" s="15" t="n">
        <f aca="false">K131*Parametros_Legales!$C$16</f>
        <v>148274</v>
      </c>
      <c r="U131" s="15" t="n">
        <f aca="false">K131*Parametros_Legales!$C$18</f>
        <v>148274</v>
      </c>
      <c r="V131" s="15" t="n">
        <f aca="false">K131*Parametros_Legales!$C$19</f>
        <v>74226</v>
      </c>
      <c r="W131" s="15" t="n">
        <f aca="false">K131+L131+Q131+R131+S131+T131+U131+V131</f>
        <v>2635574</v>
      </c>
    </row>
    <row r="132" customFormat="false" ht="15" hidden="false" customHeight="false" outlineLevel="0" collapsed="false">
      <c r="A132" s="16" t="n">
        <v>131</v>
      </c>
      <c r="B132" s="16" t="s">
        <v>419</v>
      </c>
      <c r="C132" s="16" t="s">
        <v>420</v>
      </c>
      <c r="D132" s="16" t="s">
        <v>119</v>
      </c>
      <c r="E132" s="16" t="s">
        <v>98</v>
      </c>
      <c r="F132" s="16" t="s">
        <v>147</v>
      </c>
      <c r="G132" s="19" t="n">
        <v>44501</v>
      </c>
      <c r="H132" s="16" t="s">
        <v>179</v>
      </c>
      <c r="I132" s="16" t="s">
        <v>149</v>
      </c>
      <c r="J132" s="16" t="s">
        <v>158</v>
      </c>
      <c r="K132" s="20" t="n">
        <v>1820000</v>
      </c>
      <c r="L132" s="17" t="n">
        <f aca="false">IF(K132&lt;=2*Parametros_Legales!$C$5,Parametros_Legales!$C$6,0)</f>
        <v>200000</v>
      </c>
      <c r="M132" s="17" t="n">
        <f aca="false">K132*Parametros_Legales!$C$7</f>
        <v>72800</v>
      </c>
      <c r="N132" s="17" t="n">
        <f aca="false">K132*(Parametros_Legales!$C$9+IF(K132&gt;=4*Parametros_Legales!$C$5,Parametros_Legales!$C$11,0))</f>
        <v>72800</v>
      </c>
      <c r="O132" s="17" t="n">
        <f aca="false">M132+N132</f>
        <v>145600</v>
      </c>
      <c r="P132" s="17" t="n">
        <f aca="false">K132+L132-O132</f>
        <v>1874400</v>
      </c>
      <c r="Q132" s="17" t="n">
        <f aca="false">IF(K132&lt;Parametros_Legales!$C$15,0,K132*Parametros_Legales!$C$8)</f>
        <v>0</v>
      </c>
      <c r="R132" s="17" t="n">
        <f aca="false">K132*Parametros_Legales!$C$10</f>
        <v>218400</v>
      </c>
      <c r="S132" s="17" t="n">
        <f aca="false">K132*Parametros_Legales!$C$12</f>
        <v>72800</v>
      </c>
      <c r="T132" s="17" t="n">
        <f aca="false">K132*Parametros_Legales!$C$16</f>
        <v>151606</v>
      </c>
      <c r="U132" s="17" t="n">
        <f aca="false">K132*Parametros_Legales!$C$18</f>
        <v>151606</v>
      </c>
      <c r="V132" s="17" t="n">
        <f aca="false">K132*Parametros_Legales!$C$19</f>
        <v>75894</v>
      </c>
      <c r="W132" s="17" t="n">
        <f aca="false">K132+L132+Q132+R132+S132+T132+U132+V132</f>
        <v>2690306</v>
      </c>
    </row>
    <row r="133" customFormat="false" ht="15" hidden="false" customHeight="false" outlineLevel="0" collapsed="false">
      <c r="A133" s="14" t="n">
        <v>132</v>
      </c>
      <c r="B133" s="14" t="s">
        <v>421</v>
      </c>
      <c r="C133" s="14" t="s">
        <v>422</v>
      </c>
      <c r="D133" s="14" t="s">
        <v>119</v>
      </c>
      <c r="E133" s="14" t="s">
        <v>98</v>
      </c>
      <c r="F133" s="14" t="s">
        <v>147</v>
      </c>
      <c r="G133" s="21" t="n">
        <v>45010</v>
      </c>
      <c r="H133" s="14" t="s">
        <v>179</v>
      </c>
      <c r="I133" s="14" t="s">
        <v>153</v>
      </c>
      <c r="J133" s="14" t="s">
        <v>162</v>
      </c>
      <c r="K133" s="22" t="n">
        <v>1850000</v>
      </c>
      <c r="L133" s="15" t="n">
        <f aca="false">IF(K133&lt;=2*Parametros_Legales!$C$5,Parametros_Legales!$C$6,0)</f>
        <v>200000</v>
      </c>
      <c r="M133" s="15" t="n">
        <f aca="false">K133*Parametros_Legales!$C$7</f>
        <v>74000</v>
      </c>
      <c r="N133" s="15" t="n">
        <f aca="false">K133*(Parametros_Legales!$C$9+IF(K133&gt;=4*Parametros_Legales!$C$5,Parametros_Legales!$C$11,0))</f>
        <v>74000</v>
      </c>
      <c r="O133" s="15" t="n">
        <f aca="false">M133+N133</f>
        <v>148000</v>
      </c>
      <c r="P133" s="15" t="n">
        <f aca="false">K133+L133-O133</f>
        <v>1902000</v>
      </c>
      <c r="Q133" s="15" t="n">
        <f aca="false">IF(K133&lt;Parametros_Legales!$C$15,0,K133*Parametros_Legales!$C$8)</f>
        <v>0</v>
      </c>
      <c r="R133" s="15" t="n">
        <f aca="false">K133*Parametros_Legales!$C$10</f>
        <v>222000</v>
      </c>
      <c r="S133" s="15" t="n">
        <f aca="false">K133*Parametros_Legales!$C$12</f>
        <v>74000</v>
      </c>
      <c r="T133" s="15" t="n">
        <f aca="false">K133*Parametros_Legales!$C$16</f>
        <v>154105</v>
      </c>
      <c r="U133" s="15" t="n">
        <f aca="false">K133*Parametros_Legales!$C$18</f>
        <v>154105</v>
      </c>
      <c r="V133" s="15" t="n">
        <f aca="false">K133*Parametros_Legales!$C$19</f>
        <v>77145</v>
      </c>
      <c r="W133" s="15" t="n">
        <f aca="false">K133+L133+Q133+R133+S133+T133+U133+V133</f>
        <v>2731355</v>
      </c>
    </row>
    <row r="134" customFormat="false" ht="15" hidden="false" customHeight="false" outlineLevel="0" collapsed="false">
      <c r="A134" s="16" t="n">
        <v>133</v>
      </c>
      <c r="B134" s="16" t="s">
        <v>423</v>
      </c>
      <c r="C134" s="16" t="s">
        <v>424</v>
      </c>
      <c r="D134" s="16" t="s">
        <v>119</v>
      </c>
      <c r="E134" s="16" t="s">
        <v>98</v>
      </c>
      <c r="F134" s="16" t="s">
        <v>147</v>
      </c>
      <c r="G134" s="19" t="n">
        <v>44747</v>
      </c>
      <c r="H134" s="16" t="s">
        <v>179</v>
      </c>
      <c r="I134" s="16" t="s">
        <v>157</v>
      </c>
      <c r="J134" s="16" t="s">
        <v>150</v>
      </c>
      <c r="K134" s="20" t="n">
        <v>1920000</v>
      </c>
      <c r="L134" s="17" t="n">
        <f aca="false">IF(K134&lt;=2*Parametros_Legales!$C$5,Parametros_Legales!$C$6,0)</f>
        <v>200000</v>
      </c>
      <c r="M134" s="17" t="n">
        <f aca="false">K134*Parametros_Legales!$C$7</f>
        <v>76800</v>
      </c>
      <c r="N134" s="17" t="n">
        <f aca="false">K134*(Parametros_Legales!$C$9+IF(K134&gt;=4*Parametros_Legales!$C$5,Parametros_Legales!$C$11,0))</f>
        <v>76800</v>
      </c>
      <c r="O134" s="17" t="n">
        <f aca="false">M134+N134</f>
        <v>153600</v>
      </c>
      <c r="P134" s="17" t="n">
        <f aca="false">K134+L134-O134</f>
        <v>1966400</v>
      </c>
      <c r="Q134" s="17" t="n">
        <f aca="false">IF(K134&lt;Parametros_Legales!$C$15,0,K134*Parametros_Legales!$C$8)</f>
        <v>0</v>
      </c>
      <c r="R134" s="17" t="n">
        <f aca="false">K134*Parametros_Legales!$C$10</f>
        <v>230400</v>
      </c>
      <c r="S134" s="17" t="n">
        <f aca="false">K134*Parametros_Legales!$C$12</f>
        <v>76800</v>
      </c>
      <c r="T134" s="17" t="n">
        <f aca="false">K134*Parametros_Legales!$C$16</f>
        <v>159936</v>
      </c>
      <c r="U134" s="17" t="n">
        <f aca="false">K134*Parametros_Legales!$C$18</f>
        <v>159936</v>
      </c>
      <c r="V134" s="17" t="n">
        <f aca="false">K134*Parametros_Legales!$C$19</f>
        <v>80064</v>
      </c>
      <c r="W134" s="17" t="n">
        <f aca="false">K134+L134+Q134+R134+S134+T134+U134+V134</f>
        <v>2827136</v>
      </c>
    </row>
    <row r="135" customFormat="false" ht="15" hidden="false" customHeight="false" outlineLevel="0" collapsed="false">
      <c r="A135" s="14" t="n">
        <v>134</v>
      </c>
      <c r="B135" s="14" t="s">
        <v>425</v>
      </c>
      <c r="C135" s="14" t="s">
        <v>426</v>
      </c>
      <c r="D135" s="14" t="s">
        <v>119</v>
      </c>
      <c r="E135" s="14" t="s">
        <v>98</v>
      </c>
      <c r="F135" s="14" t="s">
        <v>147</v>
      </c>
      <c r="G135" s="21" t="n">
        <v>44214</v>
      </c>
      <c r="H135" s="14" t="s">
        <v>179</v>
      </c>
      <c r="I135" s="14" t="s">
        <v>161</v>
      </c>
      <c r="J135" s="14" t="s">
        <v>154</v>
      </c>
      <c r="K135" s="22" t="n">
        <v>1770000</v>
      </c>
      <c r="L135" s="15" t="n">
        <f aca="false">IF(K135&lt;=2*Parametros_Legales!$C$5,Parametros_Legales!$C$6,0)</f>
        <v>200000</v>
      </c>
      <c r="M135" s="15" t="n">
        <f aca="false">K135*Parametros_Legales!$C$7</f>
        <v>70800</v>
      </c>
      <c r="N135" s="15" t="n">
        <f aca="false">K135*(Parametros_Legales!$C$9+IF(K135&gt;=4*Parametros_Legales!$C$5,Parametros_Legales!$C$11,0))</f>
        <v>70800</v>
      </c>
      <c r="O135" s="15" t="n">
        <f aca="false">M135+N135</f>
        <v>141600</v>
      </c>
      <c r="P135" s="15" t="n">
        <f aca="false">K135+L135-O135</f>
        <v>1828400</v>
      </c>
      <c r="Q135" s="15" t="n">
        <f aca="false">IF(K135&lt;Parametros_Legales!$C$15,0,K135*Parametros_Legales!$C$8)</f>
        <v>0</v>
      </c>
      <c r="R135" s="15" t="n">
        <f aca="false">K135*Parametros_Legales!$C$10</f>
        <v>212400</v>
      </c>
      <c r="S135" s="15" t="n">
        <f aca="false">K135*Parametros_Legales!$C$12</f>
        <v>70800</v>
      </c>
      <c r="T135" s="15" t="n">
        <f aca="false">K135*Parametros_Legales!$C$16</f>
        <v>147441</v>
      </c>
      <c r="U135" s="15" t="n">
        <f aca="false">K135*Parametros_Legales!$C$18</f>
        <v>147441</v>
      </c>
      <c r="V135" s="15" t="n">
        <f aca="false">K135*Parametros_Legales!$C$19</f>
        <v>73809</v>
      </c>
      <c r="W135" s="15" t="n">
        <f aca="false">K135+L135+Q135+R135+S135+T135+U135+V135</f>
        <v>2621891</v>
      </c>
    </row>
    <row r="136" customFormat="false" ht="15" hidden="false" customHeight="false" outlineLevel="0" collapsed="false">
      <c r="A136" s="16" t="n">
        <v>135</v>
      </c>
      <c r="B136" s="16" t="s">
        <v>427</v>
      </c>
      <c r="C136" s="16" t="s">
        <v>428</v>
      </c>
      <c r="D136" s="16" t="s">
        <v>119</v>
      </c>
      <c r="E136" s="16" t="s">
        <v>98</v>
      </c>
      <c r="F136" s="16" t="s">
        <v>147</v>
      </c>
      <c r="G136" s="19" t="n">
        <v>43868</v>
      </c>
      <c r="H136" s="16" t="s">
        <v>179</v>
      </c>
      <c r="I136" s="16" t="s">
        <v>165</v>
      </c>
      <c r="J136" s="16" t="s">
        <v>158</v>
      </c>
      <c r="K136" s="20" t="n">
        <v>1920000</v>
      </c>
      <c r="L136" s="17" t="n">
        <f aca="false">IF(K136&lt;=2*Parametros_Legales!$C$5,Parametros_Legales!$C$6,0)</f>
        <v>200000</v>
      </c>
      <c r="M136" s="17" t="n">
        <f aca="false">K136*Parametros_Legales!$C$7</f>
        <v>76800</v>
      </c>
      <c r="N136" s="17" t="n">
        <f aca="false">K136*(Parametros_Legales!$C$9+IF(K136&gt;=4*Parametros_Legales!$C$5,Parametros_Legales!$C$11,0))</f>
        <v>76800</v>
      </c>
      <c r="O136" s="17" t="n">
        <f aca="false">M136+N136</f>
        <v>153600</v>
      </c>
      <c r="P136" s="17" t="n">
        <f aca="false">K136+L136-O136</f>
        <v>1966400</v>
      </c>
      <c r="Q136" s="17" t="n">
        <f aca="false">IF(K136&lt;Parametros_Legales!$C$15,0,K136*Parametros_Legales!$C$8)</f>
        <v>0</v>
      </c>
      <c r="R136" s="17" t="n">
        <f aca="false">K136*Parametros_Legales!$C$10</f>
        <v>230400</v>
      </c>
      <c r="S136" s="17" t="n">
        <f aca="false">K136*Parametros_Legales!$C$12</f>
        <v>76800</v>
      </c>
      <c r="T136" s="17" t="n">
        <f aca="false">K136*Parametros_Legales!$C$16</f>
        <v>159936</v>
      </c>
      <c r="U136" s="17" t="n">
        <f aca="false">K136*Parametros_Legales!$C$18</f>
        <v>159936</v>
      </c>
      <c r="V136" s="17" t="n">
        <f aca="false">K136*Parametros_Legales!$C$19</f>
        <v>80064</v>
      </c>
      <c r="W136" s="17" t="n">
        <f aca="false">K136+L136+Q136+R136+S136+T136+U136+V136</f>
        <v>2827136</v>
      </c>
    </row>
    <row r="137" customFormat="false" ht="15" hidden="false" customHeight="false" outlineLevel="0" collapsed="false">
      <c r="A137" s="14" t="n">
        <v>136</v>
      </c>
      <c r="B137" s="14" t="s">
        <v>429</v>
      </c>
      <c r="C137" s="14" t="s">
        <v>430</v>
      </c>
      <c r="D137" s="14" t="s">
        <v>119</v>
      </c>
      <c r="E137" s="14" t="s">
        <v>98</v>
      </c>
      <c r="F137" s="14" t="s">
        <v>147</v>
      </c>
      <c r="G137" s="21" t="n">
        <v>43045</v>
      </c>
      <c r="H137" s="14" t="s">
        <v>179</v>
      </c>
      <c r="I137" s="14" t="s">
        <v>149</v>
      </c>
      <c r="J137" s="14" t="s">
        <v>162</v>
      </c>
      <c r="K137" s="22" t="n">
        <v>1820000</v>
      </c>
      <c r="L137" s="15" t="n">
        <f aca="false">IF(K137&lt;=2*Parametros_Legales!$C$5,Parametros_Legales!$C$6,0)</f>
        <v>200000</v>
      </c>
      <c r="M137" s="15" t="n">
        <f aca="false">K137*Parametros_Legales!$C$7</f>
        <v>72800</v>
      </c>
      <c r="N137" s="15" t="n">
        <f aca="false">K137*(Parametros_Legales!$C$9+IF(K137&gt;=4*Parametros_Legales!$C$5,Parametros_Legales!$C$11,0))</f>
        <v>72800</v>
      </c>
      <c r="O137" s="15" t="n">
        <f aca="false">M137+N137</f>
        <v>145600</v>
      </c>
      <c r="P137" s="15" t="n">
        <f aca="false">K137+L137-O137</f>
        <v>1874400</v>
      </c>
      <c r="Q137" s="15" t="n">
        <f aca="false">IF(K137&lt;Parametros_Legales!$C$15,0,K137*Parametros_Legales!$C$8)</f>
        <v>0</v>
      </c>
      <c r="R137" s="15" t="n">
        <f aca="false">K137*Parametros_Legales!$C$10</f>
        <v>218400</v>
      </c>
      <c r="S137" s="15" t="n">
        <f aca="false">K137*Parametros_Legales!$C$12</f>
        <v>72800</v>
      </c>
      <c r="T137" s="15" t="n">
        <f aca="false">K137*Parametros_Legales!$C$16</f>
        <v>151606</v>
      </c>
      <c r="U137" s="15" t="n">
        <f aca="false">K137*Parametros_Legales!$C$18</f>
        <v>151606</v>
      </c>
      <c r="V137" s="15" t="n">
        <f aca="false">K137*Parametros_Legales!$C$19</f>
        <v>75894</v>
      </c>
      <c r="W137" s="15" t="n">
        <f aca="false">K137+L137+Q137+R137+S137+T137+U137+V137</f>
        <v>2690306</v>
      </c>
    </row>
    <row r="138" customFormat="false" ht="15" hidden="false" customHeight="false" outlineLevel="0" collapsed="false">
      <c r="A138" s="16" t="n">
        <v>137</v>
      </c>
      <c r="B138" s="16" t="s">
        <v>431</v>
      </c>
      <c r="C138" s="16" t="s">
        <v>432</v>
      </c>
      <c r="D138" s="16" t="s">
        <v>119</v>
      </c>
      <c r="E138" s="16" t="s">
        <v>98</v>
      </c>
      <c r="F138" s="16" t="s">
        <v>147</v>
      </c>
      <c r="G138" s="19" t="n">
        <v>43611</v>
      </c>
      <c r="H138" s="16" t="s">
        <v>179</v>
      </c>
      <c r="I138" s="16" t="s">
        <v>153</v>
      </c>
      <c r="J138" s="16" t="s">
        <v>150</v>
      </c>
      <c r="K138" s="20" t="n">
        <v>1850000</v>
      </c>
      <c r="L138" s="17" t="n">
        <f aca="false">IF(K138&lt;=2*Parametros_Legales!$C$5,Parametros_Legales!$C$6,0)</f>
        <v>200000</v>
      </c>
      <c r="M138" s="17" t="n">
        <f aca="false">K138*Parametros_Legales!$C$7</f>
        <v>74000</v>
      </c>
      <c r="N138" s="17" t="n">
        <f aca="false">K138*(Parametros_Legales!$C$9+IF(K138&gt;=4*Parametros_Legales!$C$5,Parametros_Legales!$C$11,0))</f>
        <v>74000</v>
      </c>
      <c r="O138" s="17" t="n">
        <f aca="false">M138+N138</f>
        <v>148000</v>
      </c>
      <c r="P138" s="17" t="n">
        <f aca="false">K138+L138-O138</f>
        <v>1902000</v>
      </c>
      <c r="Q138" s="17" t="n">
        <f aca="false">IF(K138&lt;Parametros_Legales!$C$15,0,K138*Parametros_Legales!$C$8)</f>
        <v>0</v>
      </c>
      <c r="R138" s="17" t="n">
        <f aca="false">K138*Parametros_Legales!$C$10</f>
        <v>222000</v>
      </c>
      <c r="S138" s="17" t="n">
        <f aca="false">K138*Parametros_Legales!$C$12</f>
        <v>74000</v>
      </c>
      <c r="T138" s="17" t="n">
        <f aca="false">K138*Parametros_Legales!$C$16</f>
        <v>154105</v>
      </c>
      <c r="U138" s="17" t="n">
        <f aca="false">K138*Parametros_Legales!$C$18</f>
        <v>154105</v>
      </c>
      <c r="V138" s="17" t="n">
        <f aca="false">K138*Parametros_Legales!$C$19</f>
        <v>77145</v>
      </c>
      <c r="W138" s="17" t="n">
        <f aca="false">K138+L138+Q138+R138+S138+T138+U138+V138</f>
        <v>2731355</v>
      </c>
    </row>
    <row r="139" customFormat="false" ht="15" hidden="false" customHeight="false" outlineLevel="0" collapsed="false">
      <c r="A139" s="14" t="n">
        <v>138</v>
      </c>
      <c r="B139" s="14" t="s">
        <v>433</v>
      </c>
      <c r="C139" s="14" t="s">
        <v>434</v>
      </c>
      <c r="D139" s="14" t="s">
        <v>119</v>
      </c>
      <c r="E139" s="14" t="s">
        <v>98</v>
      </c>
      <c r="F139" s="14" t="s">
        <v>147</v>
      </c>
      <c r="G139" s="21" t="n">
        <v>44437</v>
      </c>
      <c r="H139" s="14" t="s">
        <v>179</v>
      </c>
      <c r="I139" s="14" t="s">
        <v>157</v>
      </c>
      <c r="J139" s="14" t="s">
        <v>154</v>
      </c>
      <c r="K139" s="22" t="n">
        <v>1800000</v>
      </c>
      <c r="L139" s="15" t="n">
        <f aca="false">IF(K139&lt;=2*Parametros_Legales!$C$5,Parametros_Legales!$C$6,0)</f>
        <v>200000</v>
      </c>
      <c r="M139" s="15" t="n">
        <f aca="false">K139*Parametros_Legales!$C$7</f>
        <v>72000</v>
      </c>
      <c r="N139" s="15" t="n">
        <f aca="false">K139*(Parametros_Legales!$C$9+IF(K139&gt;=4*Parametros_Legales!$C$5,Parametros_Legales!$C$11,0))</f>
        <v>72000</v>
      </c>
      <c r="O139" s="15" t="n">
        <f aca="false">M139+N139</f>
        <v>144000</v>
      </c>
      <c r="P139" s="15" t="n">
        <f aca="false">K139+L139-O139</f>
        <v>1856000</v>
      </c>
      <c r="Q139" s="15" t="n">
        <f aca="false">IF(K139&lt;Parametros_Legales!$C$15,0,K139*Parametros_Legales!$C$8)</f>
        <v>0</v>
      </c>
      <c r="R139" s="15" t="n">
        <f aca="false">K139*Parametros_Legales!$C$10</f>
        <v>216000</v>
      </c>
      <c r="S139" s="15" t="n">
        <f aca="false">K139*Parametros_Legales!$C$12</f>
        <v>72000</v>
      </c>
      <c r="T139" s="15" t="n">
        <f aca="false">K139*Parametros_Legales!$C$16</f>
        <v>149940</v>
      </c>
      <c r="U139" s="15" t="n">
        <f aca="false">K139*Parametros_Legales!$C$18</f>
        <v>149940</v>
      </c>
      <c r="V139" s="15" t="n">
        <f aca="false">K139*Parametros_Legales!$C$19</f>
        <v>75060</v>
      </c>
      <c r="W139" s="15" t="n">
        <f aca="false">K139+L139+Q139+R139+S139+T139+U139+V139</f>
        <v>2662940</v>
      </c>
    </row>
    <row r="140" customFormat="false" ht="15" hidden="false" customHeight="false" outlineLevel="0" collapsed="false">
      <c r="A140" s="16" t="n">
        <v>139</v>
      </c>
      <c r="B140" s="16" t="s">
        <v>435</v>
      </c>
      <c r="C140" s="16" t="s">
        <v>436</v>
      </c>
      <c r="D140" s="16" t="s">
        <v>119</v>
      </c>
      <c r="E140" s="16" t="s">
        <v>98</v>
      </c>
      <c r="F140" s="16" t="s">
        <v>147</v>
      </c>
      <c r="G140" s="19" t="n">
        <v>45384</v>
      </c>
      <c r="H140" s="16" t="s">
        <v>179</v>
      </c>
      <c r="I140" s="16" t="s">
        <v>161</v>
      </c>
      <c r="J140" s="16" t="s">
        <v>158</v>
      </c>
      <c r="K140" s="20" t="n">
        <v>1770000</v>
      </c>
      <c r="L140" s="17" t="n">
        <f aca="false">IF(K140&lt;=2*Parametros_Legales!$C$5,Parametros_Legales!$C$6,0)</f>
        <v>200000</v>
      </c>
      <c r="M140" s="17" t="n">
        <f aca="false">K140*Parametros_Legales!$C$7</f>
        <v>70800</v>
      </c>
      <c r="N140" s="17" t="n">
        <f aca="false">K140*(Parametros_Legales!$C$9+IF(K140&gt;=4*Parametros_Legales!$C$5,Parametros_Legales!$C$11,0))</f>
        <v>70800</v>
      </c>
      <c r="O140" s="17" t="n">
        <f aca="false">M140+N140</f>
        <v>141600</v>
      </c>
      <c r="P140" s="17" t="n">
        <f aca="false">K140+L140-O140</f>
        <v>1828400</v>
      </c>
      <c r="Q140" s="17" t="n">
        <f aca="false">IF(K140&lt;Parametros_Legales!$C$15,0,K140*Parametros_Legales!$C$8)</f>
        <v>0</v>
      </c>
      <c r="R140" s="17" t="n">
        <f aca="false">K140*Parametros_Legales!$C$10</f>
        <v>212400</v>
      </c>
      <c r="S140" s="17" t="n">
        <f aca="false">K140*Parametros_Legales!$C$12</f>
        <v>70800</v>
      </c>
      <c r="T140" s="17" t="n">
        <f aca="false">K140*Parametros_Legales!$C$16</f>
        <v>147441</v>
      </c>
      <c r="U140" s="17" t="n">
        <f aca="false">K140*Parametros_Legales!$C$18</f>
        <v>147441</v>
      </c>
      <c r="V140" s="17" t="n">
        <f aca="false">K140*Parametros_Legales!$C$19</f>
        <v>73809</v>
      </c>
      <c r="W140" s="17" t="n">
        <f aca="false">K140+L140+Q140+R140+S140+T140+U140+V140</f>
        <v>2621891</v>
      </c>
    </row>
    <row r="141" customFormat="false" ht="15" hidden="false" customHeight="false" outlineLevel="0" collapsed="false">
      <c r="A141" s="14" t="n">
        <v>140</v>
      </c>
      <c r="B141" s="14" t="s">
        <v>437</v>
      </c>
      <c r="C141" s="14" t="s">
        <v>438</v>
      </c>
      <c r="D141" s="14" t="s">
        <v>119</v>
      </c>
      <c r="E141" s="14" t="s">
        <v>98</v>
      </c>
      <c r="F141" s="14" t="s">
        <v>147</v>
      </c>
      <c r="G141" s="21" t="n">
        <v>43052</v>
      </c>
      <c r="H141" s="14" t="s">
        <v>179</v>
      </c>
      <c r="I141" s="14" t="s">
        <v>165</v>
      </c>
      <c r="J141" s="14" t="s">
        <v>162</v>
      </c>
      <c r="K141" s="22" t="n">
        <v>1870000</v>
      </c>
      <c r="L141" s="15" t="n">
        <f aca="false">IF(K141&lt;=2*Parametros_Legales!$C$5,Parametros_Legales!$C$6,0)</f>
        <v>200000</v>
      </c>
      <c r="M141" s="15" t="n">
        <f aca="false">K141*Parametros_Legales!$C$7</f>
        <v>74800</v>
      </c>
      <c r="N141" s="15" t="n">
        <f aca="false">K141*(Parametros_Legales!$C$9+IF(K141&gt;=4*Parametros_Legales!$C$5,Parametros_Legales!$C$11,0))</f>
        <v>74800</v>
      </c>
      <c r="O141" s="15" t="n">
        <f aca="false">M141+N141</f>
        <v>149600</v>
      </c>
      <c r="P141" s="15" t="n">
        <f aca="false">K141+L141-O141</f>
        <v>1920400</v>
      </c>
      <c r="Q141" s="15" t="n">
        <f aca="false">IF(K141&lt;Parametros_Legales!$C$15,0,K141*Parametros_Legales!$C$8)</f>
        <v>0</v>
      </c>
      <c r="R141" s="15" t="n">
        <f aca="false">K141*Parametros_Legales!$C$10</f>
        <v>224400</v>
      </c>
      <c r="S141" s="15" t="n">
        <f aca="false">K141*Parametros_Legales!$C$12</f>
        <v>74800</v>
      </c>
      <c r="T141" s="15" t="n">
        <f aca="false">K141*Parametros_Legales!$C$16</f>
        <v>155771</v>
      </c>
      <c r="U141" s="15" t="n">
        <f aca="false">K141*Parametros_Legales!$C$18</f>
        <v>155771</v>
      </c>
      <c r="V141" s="15" t="n">
        <f aca="false">K141*Parametros_Legales!$C$19</f>
        <v>77979</v>
      </c>
      <c r="W141" s="15" t="n">
        <f aca="false">K141+L141+Q141+R141+S141+T141+U141+V141</f>
        <v>2758721</v>
      </c>
    </row>
    <row r="142" customFormat="false" ht="15" hidden="false" customHeight="false" outlineLevel="0" collapsed="false">
      <c r="A142" s="16" t="n">
        <v>141</v>
      </c>
      <c r="B142" s="16" t="s">
        <v>439</v>
      </c>
      <c r="C142" s="16" t="s">
        <v>440</v>
      </c>
      <c r="D142" s="16" t="s">
        <v>119</v>
      </c>
      <c r="E142" s="16" t="s">
        <v>98</v>
      </c>
      <c r="F142" s="16" t="s">
        <v>147</v>
      </c>
      <c r="G142" s="19" t="n">
        <v>43464</v>
      </c>
      <c r="H142" s="16" t="s">
        <v>179</v>
      </c>
      <c r="I142" s="16" t="s">
        <v>149</v>
      </c>
      <c r="J142" s="16" t="s">
        <v>150</v>
      </c>
      <c r="K142" s="20" t="n">
        <v>1780000</v>
      </c>
      <c r="L142" s="17" t="n">
        <f aca="false">IF(K142&lt;=2*Parametros_Legales!$C$5,Parametros_Legales!$C$6,0)</f>
        <v>200000</v>
      </c>
      <c r="M142" s="17" t="n">
        <f aca="false">K142*Parametros_Legales!$C$7</f>
        <v>71200</v>
      </c>
      <c r="N142" s="17" t="n">
        <f aca="false">K142*(Parametros_Legales!$C$9+IF(K142&gt;=4*Parametros_Legales!$C$5,Parametros_Legales!$C$11,0))</f>
        <v>71200</v>
      </c>
      <c r="O142" s="17" t="n">
        <f aca="false">M142+N142</f>
        <v>142400</v>
      </c>
      <c r="P142" s="17" t="n">
        <f aca="false">K142+L142-O142</f>
        <v>1837600</v>
      </c>
      <c r="Q142" s="17" t="n">
        <f aca="false">IF(K142&lt;Parametros_Legales!$C$15,0,K142*Parametros_Legales!$C$8)</f>
        <v>0</v>
      </c>
      <c r="R142" s="17" t="n">
        <f aca="false">K142*Parametros_Legales!$C$10</f>
        <v>213600</v>
      </c>
      <c r="S142" s="17" t="n">
        <f aca="false">K142*Parametros_Legales!$C$12</f>
        <v>71200</v>
      </c>
      <c r="T142" s="17" t="n">
        <f aca="false">K142*Parametros_Legales!$C$16</f>
        <v>148274</v>
      </c>
      <c r="U142" s="17" t="n">
        <f aca="false">K142*Parametros_Legales!$C$18</f>
        <v>148274</v>
      </c>
      <c r="V142" s="17" t="n">
        <f aca="false">K142*Parametros_Legales!$C$19</f>
        <v>74226</v>
      </c>
      <c r="W142" s="17" t="n">
        <f aca="false">K142+L142+Q142+R142+S142+T142+U142+V142</f>
        <v>2635574</v>
      </c>
    </row>
    <row r="143" customFormat="false" ht="15" hidden="false" customHeight="false" outlineLevel="0" collapsed="false">
      <c r="A143" s="14" t="n">
        <v>142</v>
      </c>
      <c r="B143" s="14" t="s">
        <v>441</v>
      </c>
      <c r="C143" s="14" t="s">
        <v>442</v>
      </c>
      <c r="D143" s="14" t="s">
        <v>119</v>
      </c>
      <c r="E143" s="14" t="s">
        <v>98</v>
      </c>
      <c r="F143" s="14" t="s">
        <v>147</v>
      </c>
      <c r="G143" s="21" t="n">
        <v>44400</v>
      </c>
      <c r="H143" s="14" t="s">
        <v>179</v>
      </c>
      <c r="I143" s="14" t="s">
        <v>153</v>
      </c>
      <c r="J143" s="14" t="s">
        <v>154</v>
      </c>
      <c r="K143" s="22" t="n">
        <v>1770000</v>
      </c>
      <c r="L143" s="15" t="n">
        <f aca="false">IF(K143&lt;=2*Parametros_Legales!$C$5,Parametros_Legales!$C$6,0)</f>
        <v>200000</v>
      </c>
      <c r="M143" s="15" t="n">
        <f aca="false">K143*Parametros_Legales!$C$7</f>
        <v>70800</v>
      </c>
      <c r="N143" s="15" t="n">
        <f aca="false">K143*(Parametros_Legales!$C$9+IF(K143&gt;=4*Parametros_Legales!$C$5,Parametros_Legales!$C$11,0))</f>
        <v>70800</v>
      </c>
      <c r="O143" s="15" t="n">
        <f aca="false">M143+N143</f>
        <v>141600</v>
      </c>
      <c r="P143" s="15" t="n">
        <f aca="false">K143+L143-O143</f>
        <v>1828400</v>
      </c>
      <c r="Q143" s="15" t="n">
        <f aca="false">IF(K143&lt;Parametros_Legales!$C$15,0,K143*Parametros_Legales!$C$8)</f>
        <v>0</v>
      </c>
      <c r="R143" s="15" t="n">
        <f aca="false">K143*Parametros_Legales!$C$10</f>
        <v>212400</v>
      </c>
      <c r="S143" s="15" t="n">
        <f aca="false">K143*Parametros_Legales!$C$12</f>
        <v>70800</v>
      </c>
      <c r="T143" s="15" t="n">
        <f aca="false">K143*Parametros_Legales!$C$16</f>
        <v>147441</v>
      </c>
      <c r="U143" s="15" t="n">
        <f aca="false">K143*Parametros_Legales!$C$18</f>
        <v>147441</v>
      </c>
      <c r="V143" s="15" t="n">
        <f aca="false">K143*Parametros_Legales!$C$19</f>
        <v>73809</v>
      </c>
      <c r="W143" s="15" t="n">
        <f aca="false">K143+L143+Q143+R143+S143+T143+U143+V143</f>
        <v>2621891</v>
      </c>
    </row>
    <row r="144" customFormat="false" ht="15" hidden="false" customHeight="false" outlineLevel="0" collapsed="false">
      <c r="A144" s="16" t="n">
        <v>143</v>
      </c>
      <c r="B144" s="16" t="s">
        <v>443</v>
      </c>
      <c r="C144" s="16" t="s">
        <v>444</v>
      </c>
      <c r="D144" s="16" t="s">
        <v>119</v>
      </c>
      <c r="E144" s="16" t="s">
        <v>98</v>
      </c>
      <c r="F144" s="16" t="s">
        <v>147</v>
      </c>
      <c r="G144" s="19" t="n">
        <v>44755</v>
      </c>
      <c r="H144" s="16" t="s">
        <v>179</v>
      </c>
      <c r="I144" s="16" t="s">
        <v>157</v>
      </c>
      <c r="J144" s="16" t="s">
        <v>158</v>
      </c>
      <c r="K144" s="20" t="n">
        <v>1740000</v>
      </c>
      <c r="L144" s="17" t="n">
        <f aca="false">IF(K144&lt;=2*Parametros_Legales!$C$5,Parametros_Legales!$C$6,0)</f>
        <v>200000</v>
      </c>
      <c r="M144" s="17" t="n">
        <f aca="false">K144*Parametros_Legales!$C$7</f>
        <v>69600</v>
      </c>
      <c r="N144" s="17" t="n">
        <f aca="false">K144*(Parametros_Legales!$C$9+IF(K144&gt;=4*Parametros_Legales!$C$5,Parametros_Legales!$C$11,0))</f>
        <v>69600</v>
      </c>
      <c r="O144" s="17" t="n">
        <f aca="false">M144+N144</f>
        <v>139200</v>
      </c>
      <c r="P144" s="17" t="n">
        <f aca="false">K144+L144-O144</f>
        <v>1800800</v>
      </c>
      <c r="Q144" s="17" t="n">
        <f aca="false">IF(K144&lt;Parametros_Legales!$C$15,0,K144*Parametros_Legales!$C$8)</f>
        <v>0</v>
      </c>
      <c r="R144" s="17" t="n">
        <f aca="false">K144*Parametros_Legales!$C$10</f>
        <v>208800</v>
      </c>
      <c r="S144" s="17" t="n">
        <f aca="false">K144*Parametros_Legales!$C$12</f>
        <v>69600</v>
      </c>
      <c r="T144" s="17" t="n">
        <f aca="false">K144*Parametros_Legales!$C$16</f>
        <v>144942</v>
      </c>
      <c r="U144" s="17" t="n">
        <f aca="false">K144*Parametros_Legales!$C$18</f>
        <v>144942</v>
      </c>
      <c r="V144" s="17" t="n">
        <f aca="false">K144*Parametros_Legales!$C$19</f>
        <v>72558</v>
      </c>
      <c r="W144" s="17" t="n">
        <f aca="false">K144+L144+Q144+R144+S144+T144+U144+V144</f>
        <v>2580842</v>
      </c>
    </row>
    <row r="145" customFormat="false" ht="15" hidden="false" customHeight="false" outlineLevel="0" collapsed="false">
      <c r="A145" s="14" t="n">
        <v>144</v>
      </c>
      <c r="B145" s="14" t="s">
        <v>445</v>
      </c>
      <c r="C145" s="14" t="s">
        <v>446</v>
      </c>
      <c r="D145" s="14" t="s">
        <v>119</v>
      </c>
      <c r="E145" s="14" t="s">
        <v>98</v>
      </c>
      <c r="F145" s="14" t="s">
        <v>147</v>
      </c>
      <c r="G145" s="21" t="n">
        <v>43266</v>
      </c>
      <c r="H145" s="14" t="s">
        <v>179</v>
      </c>
      <c r="I145" s="14" t="s">
        <v>161</v>
      </c>
      <c r="J145" s="14" t="s">
        <v>162</v>
      </c>
      <c r="K145" s="22" t="n">
        <v>1740000</v>
      </c>
      <c r="L145" s="15" t="n">
        <f aca="false">IF(K145&lt;=2*Parametros_Legales!$C$5,Parametros_Legales!$C$6,0)</f>
        <v>200000</v>
      </c>
      <c r="M145" s="15" t="n">
        <f aca="false">K145*Parametros_Legales!$C$7</f>
        <v>69600</v>
      </c>
      <c r="N145" s="15" t="n">
        <f aca="false">K145*(Parametros_Legales!$C$9+IF(K145&gt;=4*Parametros_Legales!$C$5,Parametros_Legales!$C$11,0))</f>
        <v>69600</v>
      </c>
      <c r="O145" s="15" t="n">
        <f aca="false">M145+N145</f>
        <v>139200</v>
      </c>
      <c r="P145" s="15" t="n">
        <f aca="false">K145+L145-O145</f>
        <v>1800800</v>
      </c>
      <c r="Q145" s="15" t="n">
        <f aca="false">IF(K145&lt;Parametros_Legales!$C$15,0,K145*Parametros_Legales!$C$8)</f>
        <v>0</v>
      </c>
      <c r="R145" s="15" t="n">
        <f aca="false">K145*Parametros_Legales!$C$10</f>
        <v>208800</v>
      </c>
      <c r="S145" s="15" t="n">
        <f aca="false">K145*Parametros_Legales!$C$12</f>
        <v>69600</v>
      </c>
      <c r="T145" s="15" t="n">
        <f aca="false">K145*Parametros_Legales!$C$16</f>
        <v>144942</v>
      </c>
      <c r="U145" s="15" t="n">
        <f aca="false">K145*Parametros_Legales!$C$18</f>
        <v>144942</v>
      </c>
      <c r="V145" s="15" t="n">
        <f aca="false">K145*Parametros_Legales!$C$19</f>
        <v>72558</v>
      </c>
      <c r="W145" s="15" t="n">
        <f aca="false">K145+L145+Q145+R145+S145+T145+U145+V145</f>
        <v>2580842</v>
      </c>
    </row>
    <row r="146" customFormat="false" ht="15" hidden="false" customHeight="false" outlineLevel="0" collapsed="false">
      <c r="A146" s="16" t="n">
        <v>145</v>
      </c>
      <c r="B146" s="16" t="s">
        <v>447</v>
      </c>
      <c r="C146" s="16" t="s">
        <v>448</v>
      </c>
      <c r="D146" s="16" t="s">
        <v>119</v>
      </c>
      <c r="E146" s="16" t="s">
        <v>98</v>
      </c>
      <c r="F146" s="16" t="s">
        <v>147</v>
      </c>
      <c r="G146" s="19" t="n">
        <v>43956</v>
      </c>
      <c r="H146" s="16" t="s">
        <v>179</v>
      </c>
      <c r="I146" s="16" t="s">
        <v>165</v>
      </c>
      <c r="J146" s="16" t="s">
        <v>150</v>
      </c>
      <c r="K146" s="20" t="n">
        <v>1790000</v>
      </c>
      <c r="L146" s="17" t="n">
        <f aca="false">IF(K146&lt;=2*Parametros_Legales!$C$5,Parametros_Legales!$C$6,0)</f>
        <v>200000</v>
      </c>
      <c r="M146" s="17" t="n">
        <f aca="false">K146*Parametros_Legales!$C$7</f>
        <v>71600</v>
      </c>
      <c r="N146" s="17" t="n">
        <f aca="false">K146*(Parametros_Legales!$C$9+IF(K146&gt;=4*Parametros_Legales!$C$5,Parametros_Legales!$C$11,0))</f>
        <v>71600</v>
      </c>
      <c r="O146" s="17" t="n">
        <f aca="false">M146+N146</f>
        <v>143200</v>
      </c>
      <c r="P146" s="17" t="n">
        <f aca="false">K146+L146-O146</f>
        <v>1846800</v>
      </c>
      <c r="Q146" s="17" t="n">
        <f aca="false">IF(K146&lt;Parametros_Legales!$C$15,0,K146*Parametros_Legales!$C$8)</f>
        <v>0</v>
      </c>
      <c r="R146" s="17" t="n">
        <f aca="false">K146*Parametros_Legales!$C$10</f>
        <v>214800</v>
      </c>
      <c r="S146" s="17" t="n">
        <f aca="false">K146*Parametros_Legales!$C$12</f>
        <v>71600</v>
      </c>
      <c r="T146" s="17" t="n">
        <f aca="false">K146*Parametros_Legales!$C$16</f>
        <v>149107</v>
      </c>
      <c r="U146" s="17" t="n">
        <f aca="false">K146*Parametros_Legales!$C$18</f>
        <v>149107</v>
      </c>
      <c r="V146" s="17" t="n">
        <f aca="false">K146*Parametros_Legales!$C$19</f>
        <v>74643</v>
      </c>
      <c r="W146" s="17" t="n">
        <f aca="false">K146+L146+Q146+R146+S146+T146+U146+V146</f>
        <v>2649257</v>
      </c>
    </row>
    <row r="147" customFormat="false" ht="15" hidden="false" customHeight="false" outlineLevel="0" collapsed="false">
      <c r="A147" s="14" t="n">
        <v>146</v>
      </c>
      <c r="B147" s="14" t="s">
        <v>449</v>
      </c>
      <c r="C147" s="14" t="s">
        <v>450</v>
      </c>
      <c r="D147" s="14" t="s">
        <v>119</v>
      </c>
      <c r="E147" s="14" t="s">
        <v>98</v>
      </c>
      <c r="F147" s="14" t="s">
        <v>147</v>
      </c>
      <c r="G147" s="21" t="n">
        <v>43922</v>
      </c>
      <c r="H147" s="14" t="s">
        <v>179</v>
      </c>
      <c r="I147" s="14" t="s">
        <v>149</v>
      </c>
      <c r="J147" s="14" t="s">
        <v>154</v>
      </c>
      <c r="K147" s="22" t="n">
        <v>1780000</v>
      </c>
      <c r="L147" s="15" t="n">
        <f aca="false">IF(K147&lt;=2*Parametros_Legales!$C$5,Parametros_Legales!$C$6,0)</f>
        <v>200000</v>
      </c>
      <c r="M147" s="15" t="n">
        <f aca="false">K147*Parametros_Legales!$C$7</f>
        <v>71200</v>
      </c>
      <c r="N147" s="15" t="n">
        <f aca="false">K147*(Parametros_Legales!$C$9+IF(K147&gt;=4*Parametros_Legales!$C$5,Parametros_Legales!$C$11,0))</f>
        <v>71200</v>
      </c>
      <c r="O147" s="15" t="n">
        <f aca="false">M147+N147</f>
        <v>142400</v>
      </c>
      <c r="P147" s="15" t="n">
        <f aca="false">K147+L147-O147</f>
        <v>1837600</v>
      </c>
      <c r="Q147" s="15" t="n">
        <f aca="false">IF(K147&lt;Parametros_Legales!$C$15,0,K147*Parametros_Legales!$C$8)</f>
        <v>0</v>
      </c>
      <c r="R147" s="15" t="n">
        <f aca="false">K147*Parametros_Legales!$C$10</f>
        <v>213600</v>
      </c>
      <c r="S147" s="15" t="n">
        <f aca="false">K147*Parametros_Legales!$C$12</f>
        <v>71200</v>
      </c>
      <c r="T147" s="15" t="n">
        <f aca="false">K147*Parametros_Legales!$C$16</f>
        <v>148274</v>
      </c>
      <c r="U147" s="15" t="n">
        <f aca="false">K147*Parametros_Legales!$C$18</f>
        <v>148274</v>
      </c>
      <c r="V147" s="15" t="n">
        <f aca="false">K147*Parametros_Legales!$C$19</f>
        <v>74226</v>
      </c>
      <c r="W147" s="15" t="n">
        <f aca="false">K147+L147+Q147+R147+S147+T147+U147+V147</f>
        <v>2635574</v>
      </c>
    </row>
    <row r="148" customFormat="false" ht="15" hidden="false" customHeight="false" outlineLevel="0" collapsed="false">
      <c r="A148" s="16" t="n">
        <v>147</v>
      </c>
      <c r="B148" s="16" t="s">
        <v>451</v>
      </c>
      <c r="C148" s="16" t="s">
        <v>452</v>
      </c>
      <c r="D148" s="16" t="s">
        <v>119</v>
      </c>
      <c r="E148" s="16" t="s">
        <v>98</v>
      </c>
      <c r="F148" s="16" t="s">
        <v>147</v>
      </c>
      <c r="G148" s="19" t="n">
        <v>43300</v>
      </c>
      <c r="H148" s="16" t="s">
        <v>179</v>
      </c>
      <c r="I148" s="16" t="s">
        <v>153</v>
      </c>
      <c r="J148" s="16" t="s">
        <v>158</v>
      </c>
      <c r="K148" s="20" t="n">
        <v>1880000</v>
      </c>
      <c r="L148" s="17" t="n">
        <f aca="false">IF(K148&lt;=2*Parametros_Legales!$C$5,Parametros_Legales!$C$6,0)</f>
        <v>200000</v>
      </c>
      <c r="M148" s="17" t="n">
        <f aca="false">K148*Parametros_Legales!$C$7</f>
        <v>75200</v>
      </c>
      <c r="N148" s="17" t="n">
        <f aca="false">K148*(Parametros_Legales!$C$9+IF(K148&gt;=4*Parametros_Legales!$C$5,Parametros_Legales!$C$11,0))</f>
        <v>75200</v>
      </c>
      <c r="O148" s="17" t="n">
        <f aca="false">M148+N148</f>
        <v>150400</v>
      </c>
      <c r="P148" s="17" t="n">
        <f aca="false">K148+L148-O148</f>
        <v>1929600</v>
      </c>
      <c r="Q148" s="17" t="n">
        <f aca="false">IF(K148&lt;Parametros_Legales!$C$15,0,K148*Parametros_Legales!$C$8)</f>
        <v>0</v>
      </c>
      <c r="R148" s="17" t="n">
        <f aca="false">K148*Parametros_Legales!$C$10</f>
        <v>225600</v>
      </c>
      <c r="S148" s="17" t="n">
        <f aca="false">K148*Parametros_Legales!$C$12</f>
        <v>75200</v>
      </c>
      <c r="T148" s="17" t="n">
        <f aca="false">K148*Parametros_Legales!$C$16</f>
        <v>156604</v>
      </c>
      <c r="U148" s="17" t="n">
        <f aca="false">K148*Parametros_Legales!$C$18</f>
        <v>156604</v>
      </c>
      <c r="V148" s="17" t="n">
        <f aca="false">K148*Parametros_Legales!$C$19</f>
        <v>78396</v>
      </c>
      <c r="W148" s="17" t="n">
        <f aca="false">K148+L148+Q148+R148+S148+T148+U148+V148</f>
        <v>2772404</v>
      </c>
    </row>
    <row r="149" customFormat="false" ht="15" hidden="false" customHeight="false" outlineLevel="0" collapsed="false">
      <c r="A149" s="14" t="n">
        <v>148</v>
      </c>
      <c r="B149" s="14" t="s">
        <v>453</v>
      </c>
      <c r="C149" s="14" t="s">
        <v>454</v>
      </c>
      <c r="D149" s="14" t="s">
        <v>119</v>
      </c>
      <c r="E149" s="14" t="s">
        <v>98</v>
      </c>
      <c r="F149" s="14" t="s">
        <v>147</v>
      </c>
      <c r="G149" s="21" t="n">
        <v>45530</v>
      </c>
      <c r="H149" s="14" t="s">
        <v>179</v>
      </c>
      <c r="I149" s="14" t="s">
        <v>157</v>
      </c>
      <c r="J149" s="14" t="s">
        <v>162</v>
      </c>
      <c r="K149" s="22" t="n">
        <v>1790000</v>
      </c>
      <c r="L149" s="15" t="n">
        <f aca="false">IF(K149&lt;=2*Parametros_Legales!$C$5,Parametros_Legales!$C$6,0)</f>
        <v>200000</v>
      </c>
      <c r="M149" s="15" t="n">
        <f aca="false">K149*Parametros_Legales!$C$7</f>
        <v>71600</v>
      </c>
      <c r="N149" s="15" t="n">
        <f aca="false">K149*(Parametros_Legales!$C$9+IF(K149&gt;=4*Parametros_Legales!$C$5,Parametros_Legales!$C$11,0))</f>
        <v>71600</v>
      </c>
      <c r="O149" s="15" t="n">
        <f aca="false">M149+N149</f>
        <v>143200</v>
      </c>
      <c r="P149" s="15" t="n">
        <f aca="false">K149+L149-O149</f>
        <v>1846800</v>
      </c>
      <c r="Q149" s="15" t="n">
        <f aca="false">IF(K149&lt;Parametros_Legales!$C$15,0,K149*Parametros_Legales!$C$8)</f>
        <v>0</v>
      </c>
      <c r="R149" s="15" t="n">
        <f aca="false">K149*Parametros_Legales!$C$10</f>
        <v>214800</v>
      </c>
      <c r="S149" s="15" t="n">
        <f aca="false">K149*Parametros_Legales!$C$12</f>
        <v>71600</v>
      </c>
      <c r="T149" s="15" t="n">
        <f aca="false">K149*Parametros_Legales!$C$16</f>
        <v>149107</v>
      </c>
      <c r="U149" s="15" t="n">
        <f aca="false">K149*Parametros_Legales!$C$18</f>
        <v>149107</v>
      </c>
      <c r="V149" s="15" t="n">
        <f aca="false">K149*Parametros_Legales!$C$19</f>
        <v>74643</v>
      </c>
      <c r="W149" s="15" t="n">
        <f aca="false">K149+L149+Q149+R149+S149+T149+U149+V149</f>
        <v>2649257</v>
      </c>
    </row>
    <row r="150" customFormat="false" ht="15" hidden="false" customHeight="false" outlineLevel="0" collapsed="false">
      <c r="A150" s="16" t="n">
        <v>149</v>
      </c>
      <c r="B150" s="16" t="s">
        <v>455</v>
      </c>
      <c r="C150" s="16" t="s">
        <v>456</v>
      </c>
      <c r="D150" s="16" t="s">
        <v>119</v>
      </c>
      <c r="E150" s="16" t="s">
        <v>98</v>
      </c>
      <c r="F150" s="16" t="s">
        <v>147</v>
      </c>
      <c r="G150" s="19" t="n">
        <v>43437</v>
      </c>
      <c r="H150" s="16" t="s">
        <v>179</v>
      </c>
      <c r="I150" s="16" t="s">
        <v>161</v>
      </c>
      <c r="J150" s="16" t="s">
        <v>150</v>
      </c>
      <c r="K150" s="20" t="n">
        <v>1890000</v>
      </c>
      <c r="L150" s="17" t="n">
        <f aca="false">IF(K150&lt;=2*Parametros_Legales!$C$5,Parametros_Legales!$C$6,0)</f>
        <v>200000</v>
      </c>
      <c r="M150" s="17" t="n">
        <f aca="false">K150*Parametros_Legales!$C$7</f>
        <v>75600</v>
      </c>
      <c r="N150" s="17" t="n">
        <f aca="false">K150*(Parametros_Legales!$C$9+IF(K150&gt;=4*Parametros_Legales!$C$5,Parametros_Legales!$C$11,0))</f>
        <v>75600</v>
      </c>
      <c r="O150" s="17" t="n">
        <f aca="false">M150+N150</f>
        <v>151200</v>
      </c>
      <c r="P150" s="17" t="n">
        <f aca="false">K150+L150-O150</f>
        <v>1938800</v>
      </c>
      <c r="Q150" s="17" t="n">
        <f aca="false">IF(K150&lt;Parametros_Legales!$C$15,0,K150*Parametros_Legales!$C$8)</f>
        <v>0</v>
      </c>
      <c r="R150" s="17" t="n">
        <f aca="false">K150*Parametros_Legales!$C$10</f>
        <v>226800</v>
      </c>
      <c r="S150" s="17" t="n">
        <f aca="false">K150*Parametros_Legales!$C$12</f>
        <v>75600</v>
      </c>
      <c r="T150" s="17" t="n">
        <f aca="false">K150*Parametros_Legales!$C$16</f>
        <v>157437</v>
      </c>
      <c r="U150" s="17" t="n">
        <f aca="false">K150*Parametros_Legales!$C$18</f>
        <v>157437</v>
      </c>
      <c r="V150" s="17" t="n">
        <f aca="false">K150*Parametros_Legales!$C$19</f>
        <v>78813</v>
      </c>
      <c r="W150" s="17" t="n">
        <f aca="false">K150+L150+Q150+R150+S150+T150+U150+V150</f>
        <v>2786087</v>
      </c>
    </row>
    <row r="151" customFormat="false" ht="15" hidden="false" customHeight="false" outlineLevel="0" collapsed="false">
      <c r="A151" s="14" t="n">
        <v>150</v>
      </c>
      <c r="B151" s="14" t="s">
        <v>457</v>
      </c>
      <c r="C151" s="14" t="s">
        <v>458</v>
      </c>
      <c r="D151" s="14" t="s">
        <v>119</v>
      </c>
      <c r="E151" s="14" t="s">
        <v>98</v>
      </c>
      <c r="F151" s="14" t="s">
        <v>147</v>
      </c>
      <c r="G151" s="21" t="n">
        <v>44065</v>
      </c>
      <c r="H151" s="14" t="s">
        <v>179</v>
      </c>
      <c r="I151" s="14" t="s">
        <v>165</v>
      </c>
      <c r="J151" s="14" t="s">
        <v>154</v>
      </c>
      <c r="K151" s="22" t="n">
        <v>1840000</v>
      </c>
      <c r="L151" s="15" t="n">
        <f aca="false">IF(K151&lt;=2*Parametros_Legales!$C$5,Parametros_Legales!$C$6,0)</f>
        <v>200000</v>
      </c>
      <c r="M151" s="15" t="n">
        <f aca="false">K151*Parametros_Legales!$C$7</f>
        <v>73600</v>
      </c>
      <c r="N151" s="15" t="n">
        <f aca="false">K151*(Parametros_Legales!$C$9+IF(K151&gt;=4*Parametros_Legales!$C$5,Parametros_Legales!$C$11,0))</f>
        <v>73600</v>
      </c>
      <c r="O151" s="15" t="n">
        <f aca="false">M151+N151</f>
        <v>147200</v>
      </c>
      <c r="P151" s="15" t="n">
        <f aca="false">K151+L151-O151</f>
        <v>1892800</v>
      </c>
      <c r="Q151" s="15" t="n">
        <f aca="false">IF(K151&lt;Parametros_Legales!$C$15,0,K151*Parametros_Legales!$C$8)</f>
        <v>0</v>
      </c>
      <c r="R151" s="15" t="n">
        <f aca="false">K151*Parametros_Legales!$C$10</f>
        <v>220800</v>
      </c>
      <c r="S151" s="15" t="n">
        <f aca="false">K151*Parametros_Legales!$C$12</f>
        <v>73600</v>
      </c>
      <c r="T151" s="15" t="n">
        <f aca="false">K151*Parametros_Legales!$C$16</f>
        <v>153272</v>
      </c>
      <c r="U151" s="15" t="n">
        <f aca="false">K151*Parametros_Legales!$C$18</f>
        <v>153272</v>
      </c>
      <c r="V151" s="15" t="n">
        <f aca="false">K151*Parametros_Legales!$C$19</f>
        <v>76728</v>
      </c>
      <c r="W151" s="15" t="n">
        <f aca="false">K151+L151+Q151+R151+S151+T151+U151+V151</f>
        <v>2717672</v>
      </c>
    </row>
    <row r="152" customFormat="false" ht="15" hidden="false" customHeight="false" outlineLevel="0" collapsed="false">
      <c r="A152" s="16" t="n">
        <v>151</v>
      </c>
      <c r="B152" s="16" t="s">
        <v>459</v>
      </c>
      <c r="C152" s="16" t="s">
        <v>460</v>
      </c>
      <c r="D152" s="16" t="s">
        <v>119</v>
      </c>
      <c r="E152" s="16" t="s">
        <v>98</v>
      </c>
      <c r="F152" s="16" t="s">
        <v>147</v>
      </c>
      <c r="G152" s="19" t="n">
        <v>43381</v>
      </c>
      <c r="H152" s="16" t="s">
        <v>179</v>
      </c>
      <c r="I152" s="16" t="s">
        <v>149</v>
      </c>
      <c r="J152" s="16" t="s">
        <v>158</v>
      </c>
      <c r="K152" s="20" t="n">
        <v>1710000</v>
      </c>
      <c r="L152" s="17" t="n">
        <f aca="false">IF(K152&lt;=2*Parametros_Legales!$C$5,Parametros_Legales!$C$6,0)</f>
        <v>200000</v>
      </c>
      <c r="M152" s="17" t="n">
        <f aca="false">K152*Parametros_Legales!$C$7</f>
        <v>68400</v>
      </c>
      <c r="N152" s="17" t="n">
        <f aca="false">K152*(Parametros_Legales!$C$9+IF(K152&gt;=4*Parametros_Legales!$C$5,Parametros_Legales!$C$11,0))</f>
        <v>68400</v>
      </c>
      <c r="O152" s="17" t="n">
        <f aca="false">M152+N152</f>
        <v>136800</v>
      </c>
      <c r="P152" s="17" t="n">
        <f aca="false">K152+L152-O152</f>
        <v>1773200</v>
      </c>
      <c r="Q152" s="17" t="n">
        <f aca="false">IF(K152&lt;Parametros_Legales!$C$15,0,K152*Parametros_Legales!$C$8)</f>
        <v>0</v>
      </c>
      <c r="R152" s="17" t="n">
        <f aca="false">K152*Parametros_Legales!$C$10</f>
        <v>205200</v>
      </c>
      <c r="S152" s="17" t="n">
        <f aca="false">K152*Parametros_Legales!$C$12</f>
        <v>68400</v>
      </c>
      <c r="T152" s="17" t="n">
        <f aca="false">K152*Parametros_Legales!$C$16</f>
        <v>142443</v>
      </c>
      <c r="U152" s="17" t="n">
        <f aca="false">K152*Parametros_Legales!$C$18</f>
        <v>142443</v>
      </c>
      <c r="V152" s="17" t="n">
        <f aca="false">K152*Parametros_Legales!$C$19</f>
        <v>71307</v>
      </c>
      <c r="W152" s="17" t="n">
        <f aca="false">K152+L152+Q152+R152+S152+T152+U152+V152</f>
        <v>2539793</v>
      </c>
    </row>
    <row r="153" customFormat="false" ht="15" hidden="false" customHeight="false" outlineLevel="0" collapsed="false">
      <c r="A153" s="14" t="n">
        <v>152</v>
      </c>
      <c r="B153" s="14" t="s">
        <v>461</v>
      </c>
      <c r="C153" s="14" t="s">
        <v>462</v>
      </c>
      <c r="D153" s="14" t="s">
        <v>119</v>
      </c>
      <c r="E153" s="14" t="s">
        <v>98</v>
      </c>
      <c r="F153" s="14" t="s">
        <v>147</v>
      </c>
      <c r="G153" s="21" t="n">
        <v>44795</v>
      </c>
      <c r="H153" s="14" t="s">
        <v>179</v>
      </c>
      <c r="I153" s="14" t="s">
        <v>153</v>
      </c>
      <c r="J153" s="14" t="s">
        <v>162</v>
      </c>
      <c r="K153" s="22" t="n">
        <v>1760000</v>
      </c>
      <c r="L153" s="15" t="n">
        <f aca="false">IF(K153&lt;=2*Parametros_Legales!$C$5,Parametros_Legales!$C$6,0)</f>
        <v>200000</v>
      </c>
      <c r="M153" s="15" t="n">
        <f aca="false">K153*Parametros_Legales!$C$7</f>
        <v>70400</v>
      </c>
      <c r="N153" s="15" t="n">
        <f aca="false">K153*(Parametros_Legales!$C$9+IF(K153&gt;=4*Parametros_Legales!$C$5,Parametros_Legales!$C$11,0))</f>
        <v>70400</v>
      </c>
      <c r="O153" s="15" t="n">
        <f aca="false">M153+N153</f>
        <v>140800</v>
      </c>
      <c r="P153" s="15" t="n">
        <f aca="false">K153+L153-O153</f>
        <v>1819200</v>
      </c>
      <c r="Q153" s="15" t="n">
        <f aca="false">IF(K153&lt;Parametros_Legales!$C$15,0,K153*Parametros_Legales!$C$8)</f>
        <v>0</v>
      </c>
      <c r="R153" s="15" t="n">
        <f aca="false">K153*Parametros_Legales!$C$10</f>
        <v>211200</v>
      </c>
      <c r="S153" s="15" t="n">
        <f aca="false">K153*Parametros_Legales!$C$12</f>
        <v>70400</v>
      </c>
      <c r="T153" s="15" t="n">
        <f aca="false">K153*Parametros_Legales!$C$16</f>
        <v>146608</v>
      </c>
      <c r="U153" s="15" t="n">
        <f aca="false">K153*Parametros_Legales!$C$18</f>
        <v>146608</v>
      </c>
      <c r="V153" s="15" t="n">
        <f aca="false">K153*Parametros_Legales!$C$19</f>
        <v>73392</v>
      </c>
      <c r="W153" s="15" t="n">
        <f aca="false">K153+L153+Q153+R153+S153+T153+U153+V153</f>
        <v>2608208</v>
      </c>
    </row>
    <row r="154" customFormat="false" ht="15" hidden="false" customHeight="false" outlineLevel="0" collapsed="false">
      <c r="A154" s="16" t="n">
        <v>153</v>
      </c>
      <c r="B154" s="16" t="s">
        <v>463</v>
      </c>
      <c r="C154" s="16" t="s">
        <v>464</v>
      </c>
      <c r="D154" s="16" t="s">
        <v>119</v>
      </c>
      <c r="E154" s="16" t="s">
        <v>98</v>
      </c>
      <c r="F154" s="16" t="s">
        <v>147</v>
      </c>
      <c r="G154" s="19" t="n">
        <v>45571</v>
      </c>
      <c r="H154" s="16" t="s">
        <v>179</v>
      </c>
      <c r="I154" s="16" t="s">
        <v>157</v>
      </c>
      <c r="J154" s="16" t="s">
        <v>150</v>
      </c>
      <c r="K154" s="20" t="n">
        <v>1870000</v>
      </c>
      <c r="L154" s="17" t="n">
        <f aca="false">IF(K154&lt;=2*Parametros_Legales!$C$5,Parametros_Legales!$C$6,0)</f>
        <v>200000</v>
      </c>
      <c r="M154" s="17" t="n">
        <f aca="false">K154*Parametros_Legales!$C$7</f>
        <v>74800</v>
      </c>
      <c r="N154" s="17" t="n">
        <f aca="false">K154*(Parametros_Legales!$C$9+IF(K154&gt;=4*Parametros_Legales!$C$5,Parametros_Legales!$C$11,0))</f>
        <v>74800</v>
      </c>
      <c r="O154" s="17" t="n">
        <f aca="false">M154+N154</f>
        <v>149600</v>
      </c>
      <c r="P154" s="17" t="n">
        <f aca="false">K154+L154-O154</f>
        <v>1920400</v>
      </c>
      <c r="Q154" s="17" t="n">
        <f aca="false">IF(K154&lt;Parametros_Legales!$C$15,0,K154*Parametros_Legales!$C$8)</f>
        <v>0</v>
      </c>
      <c r="R154" s="17" t="n">
        <f aca="false">K154*Parametros_Legales!$C$10</f>
        <v>224400</v>
      </c>
      <c r="S154" s="17" t="n">
        <f aca="false">K154*Parametros_Legales!$C$12</f>
        <v>74800</v>
      </c>
      <c r="T154" s="17" t="n">
        <f aca="false">K154*Parametros_Legales!$C$16</f>
        <v>155771</v>
      </c>
      <c r="U154" s="17" t="n">
        <f aca="false">K154*Parametros_Legales!$C$18</f>
        <v>155771</v>
      </c>
      <c r="V154" s="17" t="n">
        <f aca="false">K154*Parametros_Legales!$C$19</f>
        <v>77979</v>
      </c>
      <c r="W154" s="17" t="n">
        <f aca="false">K154+L154+Q154+R154+S154+T154+U154+V154</f>
        <v>2758721</v>
      </c>
    </row>
    <row r="155" customFormat="false" ht="15" hidden="false" customHeight="false" outlineLevel="0" collapsed="false">
      <c r="A155" s="14" t="n">
        <v>154</v>
      </c>
      <c r="B155" s="14" t="s">
        <v>465</v>
      </c>
      <c r="C155" s="14" t="s">
        <v>466</v>
      </c>
      <c r="D155" s="14" t="s">
        <v>119</v>
      </c>
      <c r="E155" s="14" t="s">
        <v>98</v>
      </c>
      <c r="F155" s="14" t="s">
        <v>147</v>
      </c>
      <c r="G155" s="21" t="n">
        <v>43954</v>
      </c>
      <c r="H155" s="14" t="s">
        <v>179</v>
      </c>
      <c r="I155" s="14" t="s">
        <v>161</v>
      </c>
      <c r="J155" s="14" t="s">
        <v>154</v>
      </c>
      <c r="K155" s="22" t="n">
        <v>1890000</v>
      </c>
      <c r="L155" s="15" t="n">
        <f aca="false">IF(K155&lt;=2*Parametros_Legales!$C$5,Parametros_Legales!$C$6,0)</f>
        <v>200000</v>
      </c>
      <c r="M155" s="15" t="n">
        <f aca="false">K155*Parametros_Legales!$C$7</f>
        <v>75600</v>
      </c>
      <c r="N155" s="15" t="n">
        <f aca="false">K155*(Parametros_Legales!$C$9+IF(K155&gt;=4*Parametros_Legales!$C$5,Parametros_Legales!$C$11,0))</f>
        <v>75600</v>
      </c>
      <c r="O155" s="15" t="n">
        <f aca="false">M155+N155</f>
        <v>151200</v>
      </c>
      <c r="P155" s="15" t="n">
        <f aca="false">K155+L155-O155</f>
        <v>1938800</v>
      </c>
      <c r="Q155" s="15" t="n">
        <f aca="false">IF(K155&lt;Parametros_Legales!$C$15,0,K155*Parametros_Legales!$C$8)</f>
        <v>0</v>
      </c>
      <c r="R155" s="15" t="n">
        <f aca="false">K155*Parametros_Legales!$C$10</f>
        <v>226800</v>
      </c>
      <c r="S155" s="15" t="n">
        <f aca="false">K155*Parametros_Legales!$C$12</f>
        <v>75600</v>
      </c>
      <c r="T155" s="15" t="n">
        <f aca="false">K155*Parametros_Legales!$C$16</f>
        <v>157437</v>
      </c>
      <c r="U155" s="15" t="n">
        <f aca="false">K155*Parametros_Legales!$C$18</f>
        <v>157437</v>
      </c>
      <c r="V155" s="15" t="n">
        <f aca="false">K155*Parametros_Legales!$C$19</f>
        <v>78813</v>
      </c>
      <c r="W155" s="15" t="n">
        <f aca="false">K155+L155+Q155+R155+S155+T155+U155+V155</f>
        <v>2786087</v>
      </c>
    </row>
    <row r="156" customFormat="false" ht="15" hidden="false" customHeight="false" outlineLevel="0" collapsed="false">
      <c r="A156" s="16" t="n">
        <v>155</v>
      </c>
      <c r="B156" s="16" t="s">
        <v>467</v>
      </c>
      <c r="C156" s="16" t="s">
        <v>468</v>
      </c>
      <c r="D156" s="16" t="s">
        <v>120</v>
      </c>
      <c r="E156" s="16" t="s">
        <v>94</v>
      </c>
      <c r="F156" s="16" t="s">
        <v>147</v>
      </c>
      <c r="G156" s="19" t="n">
        <v>44019</v>
      </c>
      <c r="H156" s="16" t="s">
        <v>148</v>
      </c>
      <c r="I156" s="16" t="s">
        <v>165</v>
      </c>
      <c r="J156" s="16" t="s">
        <v>158</v>
      </c>
      <c r="K156" s="20" t="n">
        <v>2780000</v>
      </c>
      <c r="L156" s="17" t="n">
        <f aca="false">IF(K156&lt;=2*Parametros_Legales!$C$5,Parametros_Legales!$C$6,0)</f>
        <v>200000</v>
      </c>
      <c r="M156" s="17" t="n">
        <f aca="false">K156*Parametros_Legales!$C$7</f>
        <v>111200</v>
      </c>
      <c r="N156" s="17" t="n">
        <f aca="false">K156*(Parametros_Legales!$C$9+IF(K156&gt;=4*Parametros_Legales!$C$5,Parametros_Legales!$C$11,0))</f>
        <v>111200</v>
      </c>
      <c r="O156" s="17" t="n">
        <f aca="false">M156+N156</f>
        <v>222400</v>
      </c>
      <c r="P156" s="17" t="n">
        <f aca="false">K156+L156-O156</f>
        <v>2757600</v>
      </c>
      <c r="Q156" s="17" t="n">
        <f aca="false">IF(K156&lt;Parametros_Legales!$C$15,0,K156*Parametros_Legales!$C$8)</f>
        <v>0</v>
      </c>
      <c r="R156" s="17" t="n">
        <f aca="false">K156*Parametros_Legales!$C$10</f>
        <v>333600</v>
      </c>
      <c r="S156" s="17" t="n">
        <f aca="false">K156*Parametros_Legales!$C$12</f>
        <v>111200</v>
      </c>
      <c r="T156" s="17" t="n">
        <f aca="false">K156*Parametros_Legales!$C$16</f>
        <v>231574</v>
      </c>
      <c r="U156" s="17" t="n">
        <f aca="false">K156*Parametros_Legales!$C$18</f>
        <v>231574</v>
      </c>
      <c r="V156" s="17" t="n">
        <f aca="false">K156*Parametros_Legales!$C$19</f>
        <v>115926</v>
      </c>
      <c r="W156" s="17" t="n">
        <f aca="false">K156+L156+Q156+R156+S156+T156+U156+V156</f>
        <v>4003874</v>
      </c>
    </row>
    <row r="157" customFormat="false" ht="15" hidden="false" customHeight="false" outlineLevel="0" collapsed="false">
      <c r="A157" s="14" t="n">
        <v>156</v>
      </c>
      <c r="B157" s="14" t="s">
        <v>469</v>
      </c>
      <c r="C157" s="14" t="s">
        <v>470</v>
      </c>
      <c r="D157" s="14" t="s">
        <v>120</v>
      </c>
      <c r="E157" s="14" t="s">
        <v>94</v>
      </c>
      <c r="F157" s="14" t="s">
        <v>147</v>
      </c>
      <c r="G157" s="21" t="n">
        <v>45068</v>
      </c>
      <c r="H157" s="14" t="s">
        <v>148</v>
      </c>
      <c r="I157" s="14" t="s">
        <v>149</v>
      </c>
      <c r="J157" s="14" t="s">
        <v>162</v>
      </c>
      <c r="K157" s="22" t="n">
        <v>2970000</v>
      </c>
      <c r="L157" s="15" t="n">
        <f aca="false">IF(K157&lt;=2*Parametros_Legales!$C$5,Parametros_Legales!$C$6,0)</f>
        <v>0</v>
      </c>
      <c r="M157" s="15" t="n">
        <f aca="false">K157*Parametros_Legales!$C$7</f>
        <v>118800</v>
      </c>
      <c r="N157" s="15" t="n">
        <f aca="false">K157*(Parametros_Legales!$C$9+IF(K157&gt;=4*Parametros_Legales!$C$5,Parametros_Legales!$C$11,0))</f>
        <v>118800</v>
      </c>
      <c r="O157" s="15" t="n">
        <f aca="false">M157+N157</f>
        <v>237600</v>
      </c>
      <c r="P157" s="15" t="n">
        <f aca="false">K157+L157-O157</f>
        <v>2732400</v>
      </c>
      <c r="Q157" s="15" t="n">
        <f aca="false">IF(K157&lt;Parametros_Legales!$C$15,0,K157*Parametros_Legales!$C$8)</f>
        <v>0</v>
      </c>
      <c r="R157" s="15" t="n">
        <f aca="false">K157*Parametros_Legales!$C$10</f>
        <v>356400</v>
      </c>
      <c r="S157" s="15" t="n">
        <f aca="false">K157*Parametros_Legales!$C$12</f>
        <v>118800</v>
      </c>
      <c r="T157" s="15" t="n">
        <f aca="false">K157*Parametros_Legales!$C$16</f>
        <v>247401</v>
      </c>
      <c r="U157" s="15" t="n">
        <f aca="false">K157*Parametros_Legales!$C$18</f>
        <v>247401</v>
      </c>
      <c r="V157" s="15" t="n">
        <f aca="false">K157*Parametros_Legales!$C$19</f>
        <v>123849</v>
      </c>
      <c r="W157" s="15" t="n">
        <f aca="false">K157+L157+Q157+R157+S157+T157+U157+V157</f>
        <v>4063851</v>
      </c>
    </row>
    <row r="158" customFormat="false" ht="15" hidden="false" customHeight="false" outlineLevel="0" collapsed="false">
      <c r="A158" s="16" t="n">
        <v>157</v>
      </c>
      <c r="B158" s="16" t="s">
        <v>471</v>
      </c>
      <c r="C158" s="16" t="s">
        <v>472</v>
      </c>
      <c r="D158" s="16" t="s">
        <v>120</v>
      </c>
      <c r="E158" s="16" t="s">
        <v>94</v>
      </c>
      <c r="F158" s="16" t="s">
        <v>147</v>
      </c>
      <c r="G158" s="19" t="n">
        <v>44790</v>
      </c>
      <c r="H158" s="16" t="s">
        <v>148</v>
      </c>
      <c r="I158" s="16" t="s">
        <v>153</v>
      </c>
      <c r="J158" s="16" t="s">
        <v>150</v>
      </c>
      <c r="K158" s="20" t="n">
        <v>2690000</v>
      </c>
      <c r="L158" s="17" t="n">
        <f aca="false">IF(K158&lt;=2*Parametros_Legales!$C$5,Parametros_Legales!$C$6,0)</f>
        <v>200000</v>
      </c>
      <c r="M158" s="17" t="n">
        <f aca="false">K158*Parametros_Legales!$C$7</f>
        <v>107600</v>
      </c>
      <c r="N158" s="17" t="n">
        <f aca="false">K158*(Parametros_Legales!$C$9+IF(K158&gt;=4*Parametros_Legales!$C$5,Parametros_Legales!$C$11,0))</f>
        <v>107600</v>
      </c>
      <c r="O158" s="17" t="n">
        <f aca="false">M158+N158</f>
        <v>215200</v>
      </c>
      <c r="P158" s="17" t="n">
        <f aca="false">K158+L158-O158</f>
        <v>2674800</v>
      </c>
      <c r="Q158" s="17" t="n">
        <f aca="false">IF(K158&lt;Parametros_Legales!$C$15,0,K158*Parametros_Legales!$C$8)</f>
        <v>0</v>
      </c>
      <c r="R158" s="17" t="n">
        <f aca="false">K158*Parametros_Legales!$C$10</f>
        <v>322800</v>
      </c>
      <c r="S158" s="17" t="n">
        <f aca="false">K158*Parametros_Legales!$C$12</f>
        <v>107600</v>
      </c>
      <c r="T158" s="17" t="n">
        <f aca="false">K158*Parametros_Legales!$C$16</f>
        <v>224077</v>
      </c>
      <c r="U158" s="17" t="n">
        <f aca="false">K158*Parametros_Legales!$C$18</f>
        <v>224077</v>
      </c>
      <c r="V158" s="17" t="n">
        <f aca="false">K158*Parametros_Legales!$C$19</f>
        <v>112173</v>
      </c>
      <c r="W158" s="17" t="n">
        <f aca="false">K158+L158+Q158+R158+S158+T158+U158+V158</f>
        <v>3880727</v>
      </c>
    </row>
    <row r="159" customFormat="false" ht="15" hidden="false" customHeight="false" outlineLevel="0" collapsed="false">
      <c r="A159" s="14" t="n">
        <v>158</v>
      </c>
      <c r="B159" s="14" t="s">
        <v>473</v>
      </c>
      <c r="C159" s="14" t="s">
        <v>474</v>
      </c>
      <c r="D159" s="14" t="s">
        <v>120</v>
      </c>
      <c r="E159" s="14" t="s">
        <v>94</v>
      </c>
      <c r="F159" s="14" t="s">
        <v>147</v>
      </c>
      <c r="G159" s="21" t="n">
        <v>44696</v>
      </c>
      <c r="H159" s="14" t="s">
        <v>148</v>
      </c>
      <c r="I159" s="14" t="s">
        <v>157</v>
      </c>
      <c r="J159" s="14" t="s">
        <v>154</v>
      </c>
      <c r="K159" s="22" t="n">
        <v>2980000</v>
      </c>
      <c r="L159" s="15" t="n">
        <f aca="false">IF(K159&lt;=2*Parametros_Legales!$C$5,Parametros_Legales!$C$6,0)</f>
        <v>0</v>
      </c>
      <c r="M159" s="15" t="n">
        <f aca="false">K159*Parametros_Legales!$C$7</f>
        <v>119200</v>
      </c>
      <c r="N159" s="15" t="n">
        <f aca="false">K159*(Parametros_Legales!$C$9+IF(K159&gt;=4*Parametros_Legales!$C$5,Parametros_Legales!$C$11,0))</f>
        <v>119200</v>
      </c>
      <c r="O159" s="15" t="n">
        <f aca="false">M159+N159</f>
        <v>238400</v>
      </c>
      <c r="P159" s="15" t="n">
        <f aca="false">K159+L159-O159</f>
        <v>2741600</v>
      </c>
      <c r="Q159" s="15" t="n">
        <f aca="false">IF(K159&lt;Parametros_Legales!$C$15,0,K159*Parametros_Legales!$C$8)</f>
        <v>0</v>
      </c>
      <c r="R159" s="15" t="n">
        <f aca="false">K159*Parametros_Legales!$C$10</f>
        <v>357600</v>
      </c>
      <c r="S159" s="15" t="n">
        <f aca="false">K159*Parametros_Legales!$C$12</f>
        <v>119200</v>
      </c>
      <c r="T159" s="15" t="n">
        <f aca="false">K159*Parametros_Legales!$C$16</f>
        <v>248234</v>
      </c>
      <c r="U159" s="15" t="n">
        <f aca="false">K159*Parametros_Legales!$C$18</f>
        <v>248234</v>
      </c>
      <c r="V159" s="15" t="n">
        <f aca="false">K159*Parametros_Legales!$C$19</f>
        <v>124266</v>
      </c>
      <c r="W159" s="15" t="n">
        <f aca="false">K159+L159+Q159+R159+S159+T159+U159+V159</f>
        <v>4077534</v>
      </c>
    </row>
    <row r="160" customFormat="false" ht="15" hidden="false" customHeight="false" outlineLevel="0" collapsed="false">
      <c r="A160" s="16" t="n">
        <v>159</v>
      </c>
      <c r="B160" s="16" t="s">
        <v>475</v>
      </c>
      <c r="C160" s="16" t="s">
        <v>476</v>
      </c>
      <c r="D160" s="16" t="s">
        <v>120</v>
      </c>
      <c r="E160" s="16" t="s">
        <v>94</v>
      </c>
      <c r="F160" s="16" t="s">
        <v>147</v>
      </c>
      <c r="G160" s="19" t="n">
        <v>44230</v>
      </c>
      <c r="H160" s="16" t="s">
        <v>148</v>
      </c>
      <c r="I160" s="16" t="s">
        <v>161</v>
      </c>
      <c r="J160" s="16" t="s">
        <v>158</v>
      </c>
      <c r="K160" s="20" t="n">
        <v>3040000</v>
      </c>
      <c r="L160" s="17" t="n">
        <f aca="false">IF(K160&lt;=2*Parametros_Legales!$C$5,Parametros_Legales!$C$6,0)</f>
        <v>0</v>
      </c>
      <c r="M160" s="17" t="n">
        <f aca="false">K160*Parametros_Legales!$C$7</f>
        <v>121600</v>
      </c>
      <c r="N160" s="17" t="n">
        <f aca="false">K160*(Parametros_Legales!$C$9+IF(K160&gt;=4*Parametros_Legales!$C$5,Parametros_Legales!$C$11,0))</f>
        <v>121600</v>
      </c>
      <c r="O160" s="17" t="n">
        <f aca="false">M160+N160</f>
        <v>243200</v>
      </c>
      <c r="P160" s="17" t="n">
        <f aca="false">K160+L160-O160</f>
        <v>2796800</v>
      </c>
      <c r="Q160" s="17" t="n">
        <f aca="false">IF(K160&lt;Parametros_Legales!$C$15,0,K160*Parametros_Legales!$C$8)</f>
        <v>0</v>
      </c>
      <c r="R160" s="17" t="n">
        <f aca="false">K160*Parametros_Legales!$C$10</f>
        <v>364800</v>
      </c>
      <c r="S160" s="17" t="n">
        <f aca="false">K160*Parametros_Legales!$C$12</f>
        <v>121600</v>
      </c>
      <c r="T160" s="17" t="n">
        <f aca="false">K160*Parametros_Legales!$C$16</f>
        <v>253232</v>
      </c>
      <c r="U160" s="17" t="n">
        <f aca="false">K160*Parametros_Legales!$C$18</f>
        <v>253232</v>
      </c>
      <c r="V160" s="17" t="n">
        <f aca="false">K160*Parametros_Legales!$C$19</f>
        <v>126768</v>
      </c>
      <c r="W160" s="17" t="n">
        <f aca="false">K160+L160+Q160+R160+S160+T160+U160+V160</f>
        <v>4159632</v>
      </c>
    </row>
    <row r="161" customFormat="false" ht="15" hidden="false" customHeight="false" outlineLevel="0" collapsed="false">
      <c r="A161" s="14" t="n">
        <v>160</v>
      </c>
      <c r="B161" s="14" t="s">
        <v>477</v>
      </c>
      <c r="C161" s="14" t="s">
        <v>478</v>
      </c>
      <c r="D161" s="14" t="s">
        <v>120</v>
      </c>
      <c r="E161" s="14" t="s">
        <v>94</v>
      </c>
      <c r="F161" s="14" t="s">
        <v>147</v>
      </c>
      <c r="G161" s="21" t="n">
        <v>44109</v>
      </c>
      <c r="H161" s="14" t="s">
        <v>148</v>
      </c>
      <c r="I161" s="14" t="s">
        <v>165</v>
      </c>
      <c r="J161" s="14" t="s">
        <v>162</v>
      </c>
      <c r="K161" s="22" t="n">
        <v>2620000</v>
      </c>
      <c r="L161" s="15" t="n">
        <f aca="false">IF(K161&lt;=2*Parametros_Legales!$C$5,Parametros_Legales!$C$6,0)</f>
        <v>200000</v>
      </c>
      <c r="M161" s="15" t="n">
        <f aca="false">K161*Parametros_Legales!$C$7</f>
        <v>104800</v>
      </c>
      <c r="N161" s="15" t="n">
        <f aca="false">K161*(Parametros_Legales!$C$9+IF(K161&gt;=4*Parametros_Legales!$C$5,Parametros_Legales!$C$11,0))</f>
        <v>104800</v>
      </c>
      <c r="O161" s="15" t="n">
        <f aca="false">M161+N161</f>
        <v>209600</v>
      </c>
      <c r="P161" s="15" t="n">
        <f aca="false">K161+L161-O161</f>
        <v>2610400</v>
      </c>
      <c r="Q161" s="15" t="n">
        <f aca="false">IF(K161&lt;Parametros_Legales!$C$15,0,K161*Parametros_Legales!$C$8)</f>
        <v>0</v>
      </c>
      <c r="R161" s="15" t="n">
        <f aca="false">K161*Parametros_Legales!$C$10</f>
        <v>314400</v>
      </c>
      <c r="S161" s="15" t="n">
        <f aca="false">K161*Parametros_Legales!$C$12</f>
        <v>104800</v>
      </c>
      <c r="T161" s="15" t="n">
        <f aca="false">K161*Parametros_Legales!$C$16</f>
        <v>218246</v>
      </c>
      <c r="U161" s="15" t="n">
        <f aca="false">K161*Parametros_Legales!$C$18</f>
        <v>218246</v>
      </c>
      <c r="V161" s="15" t="n">
        <f aca="false">K161*Parametros_Legales!$C$19</f>
        <v>109254</v>
      </c>
      <c r="W161" s="15" t="n">
        <f aca="false">K161+L161+Q161+R161+S161+T161+U161+V161</f>
        <v>3784946</v>
      </c>
    </row>
    <row r="162" customFormat="false" ht="15" hidden="false" customHeight="false" outlineLevel="0" collapsed="false">
      <c r="A162" s="16" t="n">
        <v>161</v>
      </c>
      <c r="B162" s="16" t="s">
        <v>479</v>
      </c>
      <c r="C162" s="16" t="s">
        <v>480</v>
      </c>
      <c r="D162" s="16" t="s">
        <v>120</v>
      </c>
      <c r="E162" s="16" t="s">
        <v>94</v>
      </c>
      <c r="F162" s="16" t="s">
        <v>147</v>
      </c>
      <c r="G162" s="19" t="n">
        <v>44941</v>
      </c>
      <c r="H162" s="16" t="s">
        <v>148</v>
      </c>
      <c r="I162" s="16" t="s">
        <v>149</v>
      </c>
      <c r="J162" s="16" t="s">
        <v>150</v>
      </c>
      <c r="K162" s="20" t="n">
        <v>2650000</v>
      </c>
      <c r="L162" s="17" t="n">
        <f aca="false">IF(K162&lt;=2*Parametros_Legales!$C$5,Parametros_Legales!$C$6,0)</f>
        <v>200000</v>
      </c>
      <c r="M162" s="17" t="n">
        <f aca="false">K162*Parametros_Legales!$C$7</f>
        <v>106000</v>
      </c>
      <c r="N162" s="17" t="n">
        <f aca="false">K162*(Parametros_Legales!$C$9+IF(K162&gt;=4*Parametros_Legales!$C$5,Parametros_Legales!$C$11,0))</f>
        <v>106000</v>
      </c>
      <c r="O162" s="17" t="n">
        <f aca="false">M162+N162</f>
        <v>212000</v>
      </c>
      <c r="P162" s="17" t="n">
        <f aca="false">K162+L162-O162</f>
        <v>2638000</v>
      </c>
      <c r="Q162" s="17" t="n">
        <f aca="false">IF(K162&lt;Parametros_Legales!$C$15,0,K162*Parametros_Legales!$C$8)</f>
        <v>0</v>
      </c>
      <c r="R162" s="17" t="n">
        <f aca="false">K162*Parametros_Legales!$C$10</f>
        <v>318000</v>
      </c>
      <c r="S162" s="17" t="n">
        <f aca="false">K162*Parametros_Legales!$C$12</f>
        <v>106000</v>
      </c>
      <c r="T162" s="17" t="n">
        <f aca="false">K162*Parametros_Legales!$C$16</f>
        <v>220745</v>
      </c>
      <c r="U162" s="17" t="n">
        <f aca="false">K162*Parametros_Legales!$C$18</f>
        <v>220745</v>
      </c>
      <c r="V162" s="17" t="n">
        <f aca="false">K162*Parametros_Legales!$C$19</f>
        <v>110505</v>
      </c>
      <c r="W162" s="17" t="n">
        <f aca="false">K162+L162+Q162+R162+S162+T162+U162+V162</f>
        <v>3825995</v>
      </c>
    </row>
    <row r="163" customFormat="false" ht="15" hidden="false" customHeight="false" outlineLevel="0" collapsed="false">
      <c r="A163" s="14" t="n">
        <v>162</v>
      </c>
      <c r="B163" s="14" t="s">
        <v>481</v>
      </c>
      <c r="C163" s="14" t="s">
        <v>482</v>
      </c>
      <c r="D163" s="14" t="s">
        <v>120</v>
      </c>
      <c r="E163" s="14" t="s">
        <v>94</v>
      </c>
      <c r="F163" s="14" t="s">
        <v>147</v>
      </c>
      <c r="G163" s="21" t="n">
        <v>45714</v>
      </c>
      <c r="H163" s="14" t="s">
        <v>148</v>
      </c>
      <c r="I163" s="14" t="s">
        <v>153</v>
      </c>
      <c r="J163" s="14" t="s">
        <v>154</v>
      </c>
      <c r="K163" s="22" t="n">
        <v>2960000</v>
      </c>
      <c r="L163" s="15" t="n">
        <f aca="false">IF(K163&lt;=2*Parametros_Legales!$C$5,Parametros_Legales!$C$6,0)</f>
        <v>0</v>
      </c>
      <c r="M163" s="15" t="n">
        <f aca="false">K163*Parametros_Legales!$C$7</f>
        <v>118400</v>
      </c>
      <c r="N163" s="15" t="n">
        <f aca="false">K163*(Parametros_Legales!$C$9+IF(K163&gt;=4*Parametros_Legales!$C$5,Parametros_Legales!$C$11,0))</f>
        <v>118400</v>
      </c>
      <c r="O163" s="15" t="n">
        <f aca="false">M163+N163</f>
        <v>236800</v>
      </c>
      <c r="P163" s="15" t="n">
        <f aca="false">K163+L163-O163</f>
        <v>2723200</v>
      </c>
      <c r="Q163" s="15" t="n">
        <f aca="false">IF(K163&lt;Parametros_Legales!$C$15,0,K163*Parametros_Legales!$C$8)</f>
        <v>0</v>
      </c>
      <c r="R163" s="15" t="n">
        <f aca="false">K163*Parametros_Legales!$C$10</f>
        <v>355200</v>
      </c>
      <c r="S163" s="15" t="n">
        <f aca="false">K163*Parametros_Legales!$C$12</f>
        <v>118400</v>
      </c>
      <c r="T163" s="15" t="n">
        <f aca="false">K163*Parametros_Legales!$C$16</f>
        <v>246568</v>
      </c>
      <c r="U163" s="15" t="n">
        <f aca="false">K163*Parametros_Legales!$C$18</f>
        <v>246568</v>
      </c>
      <c r="V163" s="15" t="n">
        <f aca="false">K163*Parametros_Legales!$C$19</f>
        <v>123432</v>
      </c>
      <c r="W163" s="15" t="n">
        <f aca="false">K163+L163+Q163+R163+S163+T163+U163+V163</f>
        <v>4050168</v>
      </c>
    </row>
    <row r="164" customFormat="false" ht="15" hidden="false" customHeight="false" outlineLevel="0" collapsed="false">
      <c r="A164" s="16" t="n">
        <v>163</v>
      </c>
      <c r="B164" s="16" t="s">
        <v>483</v>
      </c>
      <c r="C164" s="16" t="s">
        <v>484</v>
      </c>
      <c r="D164" s="16" t="s">
        <v>120</v>
      </c>
      <c r="E164" s="16" t="s">
        <v>94</v>
      </c>
      <c r="F164" s="16" t="s">
        <v>147</v>
      </c>
      <c r="G164" s="19" t="n">
        <v>44739</v>
      </c>
      <c r="H164" s="16" t="s">
        <v>148</v>
      </c>
      <c r="I164" s="16" t="s">
        <v>157</v>
      </c>
      <c r="J164" s="16" t="s">
        <v>158</v>
      </c>
      <c r="K164" s="20" t="n">
        <v>3180000</v>
      </c>
      <c r="L164" s="17" t="n">
        <f aca="false">IF(K164&lt;=2*Parametros_Legales!$C$5,Parametros_Legales!$C$6,0)</f>
        <v>0</v>
      </c>
      <c r="M164" s="17" t="n">
        <f aca="false">K164*Parametros_Legales!$C$7</f>
        <v>127200</v>
      </c>
      <c r="N164" s="17" t="n">
        <f aca="false">K164*(Parametros_Legales!$C$9+IF(K164&gt;=4*Parametros_Legales!$C$5,Parametros_Legales!$C$11,0))</f>
        <v>127200</v>
      </c>
      <c r="O164" s="17" t="n">
        <f aca="false">M164+N164</f>
        <v>254400</v>
      </c>
      <c r="P164" s="17" t="n">
        <f aca="false">K164+L164-O164</f>
        <v>2925600</v>
      </c>
      <c r="Q164" s="17" t="n">
        <f aca="false">IF(K164&lt;Parametros_Legales!$C$15,0,K164*Parametros_Legales!$C$8)</f>
        <v>0</v>
      </c>
      <c r="R164" s="17" t="n">
        <f aca="false">K164*Parametros_Legales!$C$10</f>
        <v>381600</v>
      </c>
      <c r="S164" s="17" t="n">
        <f aca="false">K164*Parametros_Legales!$C$12</f>
        <v>127200</v>
      </c>
      <c r="T164" s="17" t="n">
        <f aca="false">K164*Parametros_Legales!$C$16</f>
        <v>264894</v>
      </c>
      <c r="U164" s="17" t="n">
        <f aca="false">K164*Parametros_Legales!$C$18</f>
        <v>264894</v>
      </c>
      <c r="V164" s="17" t="n">
        <f aca="false">K164*Parametros_Legales!$C$19</f>
        <v>132606</v>
      </c>
      <c r="W164" s="17" t="n">
        <f aca="false">K164+L164+Q164+R164+S164+T164+U164+V164</f>
        <v>4351194</v>
      </c>
    </row>
    <row r="165" customFormat="false" ht="15" hidden="false" customHeight="false" outlineLevel="0" collapsed="false">
      <c r="A165" s="14" t="n">
        <v>164</v>
      </c>
      <c r="B165" s="14" t="s">
        <v>485</v>
      </c>
      <c r="C165" s="14" t="s">
        <v>486</v>
      </c>
      <c r="D165" s="14" t="s">
        <v>120</v>
      </c>
      <c r="E165" s="14" t="s">
        <v>94</v>
      </c>
      <c r="F165" s="14" t="s">
        <v>147</v>
      </c>
      <c r="G165" s="21" t="n">
        <v>44453</v>
      </c>
      <c r="H165" s="14" t="s">
        <v>148</v>
      </c>
      <c r="I165" s="14" t="s">
        <v>161</v>
      </c>
      <c r="J165" s="14" t="s">
        <v>162</v>
      </c>
      <c r="K165" s="22" t="n">
        <v>2900000</v>
      </c>
      <c r="L165" s="15" t="n">
        <f aca="false">IF(K165&lt;=2*Parametros_Legales!$C$5,Parametros_Legales!$C$6,0)</f>
        <v>0</v>
      </c>
      <c r="M165" s="15" t="n">
        <f aca="false">K165*Parametros_Legales!$C$7</f>
        <v>116000</v>
      </c>
      <c r="N165" s="15" t="n">
        <f aca="false">K165*(Parametros_Legales!$C$9+IF(K165&gt;=4*Parametros_Legales!$C$5,Parametros_Legales!$C$11,0))</f>
        <v>116000</v>
      </c>
      <c r="O165" s="15" t="n">
        <f aca="false">M165+N165</f>
        <v>232000</v>
      </c>
      <c r="P165" s="15" t="n">
        <f aca="false">K165+L165-O165</f>
        <v>2668000</v>
      </c>
      <c r="Q165" s="15" t="n">
        <f aca="false">IF(K165&lt;Parametros_Legales!$C$15,0,K165*Parametros_Legales!$C$8)</f>
        <v>0</v>
      </c>
      <c r="R165" s="15" t="n">
        <f aca="false">K165*Parametros_Legales!$C$10</f>
        <v>348000</v>
      </c>
      <c r="S165" s="15" t="n">
        <f aca="false">K165*Parametros_Legales!$C$12</f>
        <v>116000</v>
      </c>
      <c r="T165" s="15" t="n">
        <f aca="false">K165*Parametros_Legales!$C$16</f>
        <v>241570</v>
      </c>
      <c r="U165" s="15" t="n">
        <f aca="false">K165*Parametros_Legales!$C$18</f>
        <v>241570</v>
      </c>
      <c r="V165" s="15" t="n">
        <f aca="false">K165*Parametros_Legales!$C$19</f>
        <v>120930</v>
      </c>
      <c r="W165" s="15" t="n">
        <f aca="false">K165+L165+Q165+R165+S165+T165+U165+V165</f>
        <v>3968070</v>
      </c>
    </row>
    <row r="166" customFormat="false" ht="15" hidden="false" customHeight="false" outlineLevel="0" collapsed="false">
      <c r="A166" s="16" t="n">
        <v>165</v>
      </c>
      <c r="B166" s="16" t="s">
        <v>487</v>
      </c>
      <c r="C166" s="16" t="s">
        <v>488</v>
      </c>
      <c r="D166" s="16" t="s">
        <v>120</v>
      </c>
      <c r="E166" s="16" t="s">
        <v>94</v>
      </c>
      <c r="F166" s="16" t="s">
        <v>147</v>
      </c>
      <c r="G166" s="19" t="n">
        <v>45220</v>
      </c>
      <c r="H166" s="16" t="s">
        <v>148</v>
      </c>
      <c r="I166" s="16" t="s">
        <v>165</v>
      </c>
      <c r="J166" s="16" t="s">
        <v>150</v>
      </c>
      <c r="K166" s="20" t="n">
        <v>3140000</v>
      </c>
      <c r="L166" s="17" t="n">
        <f aca="false">IF(K166&lt;=2*Parametros_Legales!$C$5,Parametros_Legales!$C$6,0)</f>
        <v>0</v>
      </c>
      <c r="M166" s="17" t="n">
        <f aca="false">K166*Parametros_Legales!$C$7</f>
        <v>125600</v>
      </c>
      <c r="N166" s="17" t="n">
        <f aca="false">K166*(Parametros_Legales!$C$9+IF(K166&gt;=4*Parametros_Legales!$C$5,Parametros_Legales!$C$11,0))</f>
        <v>125600</v>
      </c>
      <c r="O166" s="17" t="n">
        <f aca="false">M166+N166</f>
        <v>251200</v>
      </c>
      <c r="P166" s="17" t="n">
        <f aca="false">K166+L166-O166</f>
        <v>2888800</v>
      </c>
      <c r="Q166" s="17" t="n">
        <f aca="false">IF(K166&lt;Parametros_Legales!$C$15,0,K166*Parametros_Legales!$C$8)</f>
        <v>0</v>
      </c>
      <c r="R166" s="17" t="n">
        <f aca="false">K166*Parametros_Legales!$C$10</f>
        <v>376800</v>
      </c>
      <c r="S166" s="17" t="n">
        <f aca="false">K166*Parametros_Legales!$C$12</f>
        <v>125600</v>
      </c>
      <c r="T166" s="17" t="n">
        <f aca="false">K166*Parametros_Legales!$C$16</f>
        <v>261562</v>
      </c>
      <c r="U166" s="17" t="n">
        <f aca="false">K166*Parametros_Legales!$C$18</f>
        <v>261562</v>
      </c>
      <c r="V166" s="17" t="n">
        <f aca="false">K166*Parametros_Legales!$C$19</f>
        <v>130938</v>
      </c>
      <c r="W166" s="17" t="n">
        <f aca="false">K166+L166+Q166+R166+S166+T166+U166+V166</f>
        <v>4296462</v>
      </c>
    </row>
    <row r="167" customFormat="false" ht="15" hidden="false" customHeight="false" outlineLevel="0" collapsed="false">
      <c r="A167" s="14" t="n">
        <v>166</v>
      </c>
      <c r="B167" s="14" t="s">
        <v>489</v>
      </c>
      <c r="C167" s="14" t="s">
        <v>490</v>
      </c>
      <c r="D167" s="14" t="s">
        <v>120</v>
      </c>
      <c r="E167" s="14" t="s">
        <v>94</v>
      </c>
      <c r="F167" s="14" t="s">
        <v>147</v>
      </c>
      <c r="G167" s="21" t="n">
        <v>44238</v>
      </c>
      <c r="H167" s="14" t="s">
        <v>148</v>
      </c>
      <c r="I167" s="14" t="s">
        <v>149</v>
      </c>
      <c r="J167" s="14" t="s">
        <v>154</v>
      </c>
      <c r="K167" s="22" t="n">
        <v>3020000</v>
      </c>
      <c r="L167" s="15" t="n">
        <f aca="false">IF(K167&lt;=2*Parametros_Legales!$C$5,Parametros_Legales!$C$6,0)</f>
        <v>0</v>
      </c>
      <c r="M167" s="15" t="n">
        <f aca="false">K167*Parametros_Legales!$C$7</f>
        <v>120800</v>
      </c>
      <c r="N167" s="15" t="n">
        <f aca="false">K167*(Parametros_Legales!$C$9+IF(K167&gt;=4*Parametros_Legales!$C$5,Parametros_Legales!$C$11,0))</f>
        <v>120800</v>
      </c>
      <c r="O167" s="15" t="n">
        <f aca="false">M167+N167</f>
        <v>241600</v>
      </c>
      <c r="P167" s="15" t="n">
        <f aca="false">K167+L167-O167</f>
        <v>2778400</v>
      </c>
      <c r="Q167" s="15" t="n">
        <f aca="false">IF(K167&lt;Parametros_Legales!$C$15,0,K167*Parametros_Legales!$C$8)</f>
        <v>0</v>
      </c>
      <c r="R167" s="15" t="n">
        <f aca="false">K167*Parametros_Legales!$C$10</f>
        <v>362400</v>
      </c>
      <c r="S167" s="15" t="n">
        <f aca="false">K167*Parametros_Legales!$C$12</f>
        <v>120800</v>
      </c>
      <c r="T167" s="15" t="n">
        <f aca="false">K167*Parametros_Legales!$C$16</f>
        <v>251566</v>
      </c>
      <c r="U167" s="15" t="n">
        <f aca="false">K167*Parametros_Legales!$C$18</f>
        <v>251566</v>
      </c>
      <c r="V167" s="15" t="n">
        <f aca="false">K167*Parametros_Legales!$C$19</f>
        <v>125934</v>
      </c>
      <c r="W167" s="15" t="n">
        <f aca="false">K167+L167+Q167+R167+S167+T167+U167+V167</f>
        <v>4132266</v>
      </c>
    </row>
    <row r="168" customFormat="false" ht="15" hidden="false" customHeight="false" outlineLevel="0" collapsed="false">
      <c r="A168" s="16" t="n">
        <v>167</v>
      </c>
      <c r="B168" s="16" t="s">
        <v>491</v>
      </c>
      <c r="C168" s="16" t="s">
        <v>492</v>
      </c>
      <c r="D168" s="16" t="s">
        <v>120</v>
      </c>
      <c r="E168" s="16" t="s">
        <v>94</v>
      </c>
      <c r="F168" s="16" t="s">
        <v>147</v>
      </c>
      <c r="G168" s="19" t="n">
        <v>44554</v>
      </c>
      <c r="H168" s="16" t="s">
        <v>148</v>
      </c>
      <c r="I168" s="16" t="s">
        <v>153</v>
      </c>
      <c r="J168" s="16" t="s">
        <v>158</v>
      </c>
      <c r="K168" s="20" t="n">
        <v>2760000</v>
      </c>
      <c r="L168" s="17" t="n">
        <f aca="false">IF(K168&lt;=2*Parametros_Legales!$C$5,Parametros_Legales!$C$6,0)</f>
        <v>200000</v>
      </c>
      <c r="M168" s="17" t="n">
        <f aca="false">K168*Parametros_Legales!$C$7</f>
        <v>110400</v>
      </c>
      <c r="N168" s="17" t="n">
        <f aca="false">K168*(Parametros_Legales!$C$9+IF(K168&gt;=4*Parametros_Legales!$C$5,Parametros_Legales!$C$11,0))</f>
        <v>110400</v>
      </c>
      <c r="O168" s="17" t="n">
        <f aca="false">M168+N168</f>
        <v>220800</v>
      </c>
      <c r="P168" s="17" t="n">
        <f aca="false">K168+L168-O168</f>
        <v>2739200</v>
      </c>
      <c r="Q168" s="17" t="n">
        <f aca="false">IF(K168&lt;Parametros_Legales!$C$15,0,K168*Parametros_Legales!$C$8)</f>
        <v>0</v>
      </c>
      <c r="R168" s="17" t="n">
        <f aca="false">K168*Parametros_Legales!$C$10</f>
        <v>331200</v>
      </c>
      <c r="S168" s="17" t="n">
        <f aca="false">K168*Parametros_Legales!$C$12</f>
        <v>110400</v>
      </c>
      <c r="T168" s="17" t="n">
        <f aca="false">K168*Parametros_Legales!$C$16</f>
        <v>229908</v>
      </c>
      <c r="U168" s="17" t="n">
        <f aca="false">K168*Parametros_Legales!$C$18</f>
        <v>229908</v>
      </c>
      <c r="V168" s="17" t="n">
        <f aca="false">K168*Parametros_Legales!$C$19</f>
        <v>115092</v>
      </c>
      <c r="W168" s="17" t="n">
        <f aca="false">K168+L168+Q168+R168+S168+T168+U168+V168</f>
        <v>3976508</v>
      </c>
    </row>
    <row r="169" customFormat="false" ht="15" hidden="false" customHeight="false" outlineLevel="0" collapsed="false">
      <c r="A169" s="14" t="n">
        <v>168</v>
      </c>
      <c r="B169" s="14" t="s">
        <v>493</v>
      </c>
      <c r="C169" s="14" t="s">
        <v>494</v>
      </c>
      <c r="D169" s="14" t="s">
        <v>120</v>
      </c>
      <c r="E169" s="14" t="s">
        <v>94</v>
      </c>
      <c r="F169" s="14" t="s">
        <v>147</v>
      </c>
      <c r="G169" s="21" t="n">
        <v>43986</v>
      </c>
      <c r="H169" s="14" t="s">
        <v>148</v>
      </c>
      <c r="I169" s="14" t="s">
        <v>157</v>
      </c>
      <c r="J169" s="14" t="s">
        <v>162</v>
      </c>
      <c r="K169" s="22" t="n">
        <v>3020000</v>
      </c>
      <c r="L169" s="15" t="n">
        <f aca="false">IF(K169&lt;=2*Parametros_Legales!$C$5,Parametros_Legales!$C$6,0)</f>
        <v>0</v>
      </c>
      <c r="M169" s="15" t="n">
        <f aca="false">K169*Parametros_Legales!$C$7</f>
        <v>120800</v>
      </c>
      <c r="N169" s="15" t="n">
        <f aca="false">K169*(Parametros_Legales!$C$9+IF(K169&gt;=4*Parametros_Legales!$C$5,Parametros_Legales!$C$11,0))</f>
        <v>120800</v>
      </c>
      <c r="O169" s="15" t="n">
        <f aca="false">M169+N169</f>
        <v>241600</v>
      </c>
      <c r="P169" s="15" t="n">
        <f aca="false">K169+L169-O169</f>
        <v>2778400</v>
      </c>
      <c r="Q169" s="15" t="n">
        <f aca="false">IF(K169&lt;Parametros_Legales!$C$15,0,K169*Parametros_Legales!$C$8)</f>
        <v>0</v>
      </c>
      <c r="R169" s="15" t="n">
        <f aca="false">K169*Parametros_Legales!$C$10</f>
        <v>362400</v>
      </c>
      <c r="S169" s="15" t="n">
        <f aca="false">K169*Parametros_Legales!$C$12</f>
        <v>120800</v>
      </c>
      <c r="T169" s="15" t="n">
        <f aca="false">K169*Parametros_Legales!$C$16</f>
        <v>251566</v>
      </c>
      <c r="U169" s="15" t="n">
        <f aca="false">K169*Parametros_Legales!$C$18</f>
        <v>251566</v>
      </c>
      <c r="V169" s="15" t="n">
        <f aca="false">K169*Parametros_Legales!$C$19</f>
        <v>125934</v>
      </c>
      <c r="W169" s="15" t="n">
        <f aca="false">K169+L169+Q169+R169+S169+T169+U169+V169</f>
        <v>4132266</v>
      </c>
    </row>
    <row r="170" customFormat="false" ht="15" hidden="false" customHeight="false" outlineLevel="0" collapsed="false">
      <c r="A170" s="16" t="n">
        <v>169</v>
      </c>
      <c r="B170" s="16" t="s">
        <v>495</v>
      </c>
      <c r="C170" s="16" t="s">
        <v>496</v>
      </c>
      <c r="D170" s="16" t="s">
        <v>121</v>
      </c>
      <c r="E170" s="16" t="s">
        <v>102</v>
      </c>
      <c r="F170" s="16" t="s">
        <v>147</v>
      </c>
      <c r="G170" s="19" t="n">
        <v>44858</v>
      </c>
      <c r="H170" s="16" t="s">
        <v>148</v>
      </c>
      <c r="I170" s="16" t="s">
        <v>161</v>
      </c>
      <c r="J170" s="16" t="s">
        <v>150</v>
      </c>
      <c r="K170" s="20" t="n">
        <v>2890000</v>
      </c>
      <c r="L170" s="17" t="n">
        <f aca="false">IF(K170&lt;=2*Parametros_Legales!$C$5,Parametros_Legales!$C$6,0)</f>
        <v>0</v>
      </c>
      <c r="M170" s="17" t="n">
        <f aca="false">K170*Parametros_Legales!$C$7</f>
        <v>115600</v>
      </c>
      <c r="N170" s="17" t="n">
        <f aca="false">K170*(Parametros_Legales!$C$9+IF(K170&gt;=4*Parametros_Legales!$C$5,Parametros_Legales!$C$11,0))</f>
        <v>115600</v>
      </c>
      <c r="O170" s="17" t="n">
        <f aca="false">M170+N170</f>
        <v>231200</v>
      </c>
      <c r="P170" s="17" t="n">
        <f aca="false">K170+L170-O170</f>
        <v>2658800</v>
      </c>
      <c r="Q170" s="17" t="n">
        <f aca="false">IF(K170&lt;Parametros_Legales!$C$15,0,K170*Parametros_Legales!$C$8)</f>
        <v>0</v>
      </c>
      <c r="R170" s="17" t="n">
        <f aca="false">K170*Parametros_Legales!$C$10</f>
        <v>346800</v>
      </c>
      <c r="S170" s="17" t="n">
        <f aca="false">K170*Parametros_Legales!$C$12</f>
        <v>115600</v>
      </c>
      <c r="T170" s="17" t="n">
        <f aca="false">K170*Parametros_Legales!$C$16</f>
        <v>240737</v>
      </c>
      <c r="U170" s="17" t="n">
        <f aca="false">K170*Parametros_Legales!$C$18</f>
        <v>240737</v>
      </c>
      <c r="V170" s="17" t="n">
        <f aca="false">K170*Parametros_Legales!$C$19</f>
        <v>120513</v>
      </c>
      <c r="W170" s="17" t="n">
        <f aca="false">K170+L170+Q170+R170+S170+T170+U170+V170</f>
        <v>3954387</v>
      </c>
    </row>
    <row r="171" customFormat="false" ht="15" hidden="false" customHeight="false" outlineLevel="0" collapsed="false">
      <c r="A171" s="14" t="n">
        <v>170</v>
      </c>
      <c r="B171" s="14" t="s">
        <v>497</v>
      </c>
      <c r="C171" s="14" t="s">
        <v>498</v>
      </c>
      <c r="D171" s="14" t="s">
        <v>121</v>
      </c>
      <c r="E171" s="14" t="s">
        <v>102</v>
      </c>
      <c r="F171" s="14" t="s">
        <v>147</v>
      </c>
      <c r="G171" s="21" t="n">
        <v>44754</v>
      </c>
      <c r="H171" s="14" t="s">
        <v>148</v>
      </c>
      <c r="I171" s="14" t="s">
        <v>165</v>
      </c>
      <c r="J171" s="14" t="s">
        <v>154</v>
      </c>
      <c r="K171" s="22" t="n">
        <v>2670000</v>
      </c>
      <c r="L171" s="15" t="n">
        <f aca="false">IF(K171&lt;=2*Parametros_Legales!$C$5,Parametros_Legales!$C$6,0)</f>
        <v>200000</v>
      </c>
      <c r="M171" s="15" t="n">
        <f aca="false">K171*Parametros_Legales!$C$7</f>
        <v>106800</v>
      </c>
      <c r="N171" s="15" t="n">
        <f aca="false">K171*(Parametros_Legales!$C$9+IF(K171&gt;=4*Parametros_Legales!$C$5,Parametros_Legales!$C$11,0))</f>
        <v>106800</v>
      </c>
      <c r="O171" s="15" t="n">
        <f aca="false">M171+N171</f>
        <v>213600</v>
      </c>
      <c r="P171" s="15" t="n">
        <f aca="false">K171+L171-O171</f>
        <v>2656400</v>
      </c>
      <c r="Q171" s="15" t="n">
        <f aca="false">IF(K171&lt;Parametros_Legales!$C$15,0,K171*Parametros_Legales!$C$8)</f>
        <v>0</v>
      </c>
      <c r="R171" s="15" t="n">
        <f aca="false">K171*Parametros_Legales!$C$10</f>
        <v>320400</v>
      </c>
      <c r="S171" s="15" t="n">
        <f aca="false">K171*Parametros_Legales!$C$12</f>
        <v>106800</v>
      </c>
      <c r="T171" s="15" t="n">
        <f aca="false">K171*Parametros_Legales!$C$16</f>
        <v>222411</v>
      </c>
      <c r="U171" s="15" t="n">
        <f aca="false">K171*Parametros_Legales!$C$18</f>
        <v>222411</v>
      </c>
      <c r="V171" s="15" t="n">
        <f aca="false">K171*Parametros_Legales!$C$19</f>
        <v>111339</v>
      </c>
      <c r="W171" s="15" t="n">
        <f aca="false">K171+L171+Q171+R171+S171+T171+U171+V171</f>
        <v>3853361</v>
      </c>
    </row>
    <row r="172" customFormat="false" ht="15" hidden="false" customHeight="false" outlineLevel="0" collapsed="false">
      <c r="A172" s="16" t="n">
        <v>171</v>
      </c>
      <c r="B172" s="16" t="s">
        <v>499</v>
      </c>
      <c r="C172" s="16" t="s">
        <v>500</v>
      </c>
      <c r="D172" s="16" t="s">
        <v>121</v>
      </c>
      <c r="E172" s="16" t="s">
        <v>102</v>
      </c>
      <c r="F172" s="16" t="s">
        <v>147</v>
      </c>
      <c r="G172" s="19" t="n">
        <v>45819</v>
      </c>
      <c r="H172" s="16" t="s">
        <v>148</v>
      </c>
      <c r="I172" s="16" t="s">
        <v>149</v>
      </c>
      <c r="J172" s="16" t="s">
        <v>158</v>
      </c>
      <c r="K172" s="20" t="n">
        <v>2570000</v>
      </c>
      <c r="L172" s="17" t="n">
        <f aca="false">IF(K172&lt;=2*Parametros_Legales!$C$5,Parametros_Legales!$C$6,0)</f>
        <v>200000</v>
      </c>
      <c r="M172" s="17" t="n">
        <f aca="false">K172*Parametros_Legales!$C$7</f>
        <v>102800</v>
      </c>
      <c r="N172" s="17" t="n">
        <f aca="false">K172*(Parametros_Legales!$C$9+IF(K172&gt;=4*Parametros_Legales!$C$5,Parametros_Legales!$C$11,0))</f>
        <v>102800</v>
      </c>
      <c r="O172" s="17" t="n">
        <f aca="false">M172+N172</f>
        <v>205600</v>
      </c>
      <c r="P172" s="17" t="n">
        <f aca="false">K172+L172-O172</f>
        <v>2564400</v>
      </c>
      <c r="Q172" s="17" t="n">
        <f aca="false">IF(K172&lt;Parametros_Legales!$C$15,0,K172*Parametros_Legales!$C$8)</f>
        <v>0</v>
      </c>
      <c r="R172" s="17" t="n">
        <f aca="false">K172*Parametros_Legales!$C$10</f>
        <v>308400</v>
      </c>
      <c r="S172" s="17" t="n">
        <f aca="false">K172*Parametros_Legales!$C$12</f>
        <v>102800</v>
      </c>
      <c r="T172" s="17" t="n">
        <f aca="false">K172*Parametros_Legales!$C$16</f>
        <v>214081</v>
      </c>
      <c r="U172" s="17" t="n">
        <f aca="false">K172*Parametros_Legales!$C$18</f>
        <v>214081</v>
      </c>
      <c r="V172" s="17" t="n">
        <f aca="false">K172*Parametros_Legales!$C$19</f>
        <v>107169</v>
      </c>
      <c r="W172" s="17" t="n">
        <f aca="false">K172+L172+Q172+R172+S172+T172+U172+V172</f>
        <v>3716531</v>
      </c>
    </row>
    <row r="173" customFormat="false" ht="15" hidden="false" customHeight="false" outlineLevel="0" collapsed="false">
      <c r="A173" s="14" t="n">
        <v>172</v>
      </c>
      <c r="B173" s="14" t="s">
        <v>501</v>
      </c>
      <c r="C173" s="14" t="s">
        <v>502</v>
      </c>
      <c r="D173" s="14" t="s">
        <v>121</v>
      </c>
      <c r="E173" s="14" t="s">
        <v>102</v>
      </c>
      <c r="F173" s="14" t="s">
        <v>147</v>
      </c>
      <c r="G173" s="21" t="n">
        <v>45850</v>
      </c>
      <c r="H173" s="14" t="s">
        <v>148</v>
      </c>
      <c r="I173" s="14" t="s">
        <v>153</v>
      </c>
      <c r="J173" s="14" t="s">
        <v>162</v>
      </c>
      <c r="K173" s="22" t="n">
        <v>2850000</v>
      </c>
      <c r="L173" s="15" t="n">
        <f aca="false">IF(K173&lt;=2*Parametros_Legales!$C$5,Parametros_Legales!$C$6,0)</f>
        <v>0</v>
      </c>
      <c r="M173" s="15" t="n">
        <f aca="false">K173*Parametros_Legales!$C$7</f>
        <v>114000</v>
      </c>
      <c r="N173" s="15" t="n">
        <f aca="false">K173*(Parametros_Legales!$C$9+IF(K173&gt;=4*Parametros_Legales!$C$5,Parametros_Legales!$C$11,0))</f>
        <v>114000</v>
      </c>
      <c r="O173" s="15" t="n">
        <f aca="false">M173+N173</f>
        <v>228000</v>
      </c>
      <c r="P173" s="15" t="n">
        <f aca="false">K173+L173-O173</f>
        <v>2622000</v>
      </c>
      <c r="Q173" s="15" t="n">
        <f aca="false">IF(K173&lt;Parametros_Legales!$C$15,0,K173*Parametros_Legales!$C$8)</f>
        <v>0</v>
      </c>
      <c r="R173" s="15" t="n">
        <f aca="false">K173*Parametros_Legales!$C$10</f>
        <v>342000</v>
      </c>
      <c r="S173" s="15" t="n">
        <f aca="false">K173*Parametros_Legales!$C$12</f>
        <v>114000</v>
      </c>
      <c r="T173" s="15" t="n">
        <f aca="false">K173*Parametros_Legales!$C$16</f>
        <v>237405</v>
      </c>
      <c r="U173" s="15" t="n">
        <f aca="false">K173*Parametros_Legales!$C$18</f>
        <v>237405</v>
      </c>
      <c r="V173" s="15" t="n">
        <f aca="false">K173*Parametros_Legales!$C$19</f>
        <v>118845</v>
      </c>
      <c r="W173" s="15" t="n">
        <f aca="false">K173+L173+Q173+R173+S173+T173+U173+V173</f>
        <v>3899655</v>
      </c>
    </row>
    <row r="174" customFormat="false" ht="15" hidden="false" customHeight="false" outlineLevel="0" collapsed="false">
      <c r="A174" s="16" t="n">
        <v>173</v>
      </c>
      <c r="B174" s="16" t="s">
        <v>503</v>
      </c>
      <c r="C174" s="16" t="s">
        <v>504</v>
      </c>
      <c r="D174" s="16" t="s">
        <v>122</v>
      </c>
      <c r="E174" s="16" t="s">
        <v>98</v>
      </c>
      <c r="F174" s="16" t="s">
        <v>147</v>
      </c>
      <c r="G174" s="19" t="n">
        <v>45638</v>
      </c>
      <c r="H174" s="16" t="s">
        <v>505</v>
      </c>
      <c r="I174" s="16" t="s">
        <v>157</v>
      </c>
      <c r="J174" s="16" t="s">
        <v>150</v>
      </c>
      <c r="K174" s="20" t="n">
        <v>1490000</v>
      </c>
      <c r="L174" s="17" t="n">
        <f aca="false">IF(K174&lt;=2*Parametros_Legales!$C$5,Parametros_Legales!$C$6,0)</f>
        <v>200000</v>
      </c>
      <c r="M174" s="17" t="n">
        <f aca="false">K174*Parametros_Legales!$C$7</f>
        <v>59600</v>
      </c>
      <c r="N174" s="17" t="n">
        <f aca="false">K174*(Parametros_Legales!$C$9+IF(K174&gt;=4*Parametros_Legales!$C$5,Parametros_Legales!$C$11,0))</f>
        <v>59600</v>
      </c>
      <c r="O174" s="17" t="n">
        <f aca="false">M174+N174</f>
        <v>119200</v>
      </c>
      <c r="P174" s="17" t="n">
        <f aca="false">K174+L174-O174</f>
        <v>1570800</v>
      </c>
      <c r="Q174" s="17" t="n">
        <f aca="false">IF(K174&lt;Parametros_Legales!$C$15,0,K174*Parametros_Legales!$C$8)</f>
        <v>0</v>
      </c>
      <c r="R174" s="17" t="n">
        <f aca="false">K174*Parametros_Legales!$C$10</f>
        <v>178800</v>
      </c>
      <c r="S174" s="17" t="n">
        <f aca="false">K174*Parametros_Legales!$C$12</f>
        <v>59600</v>
      </c>
      <c r="T174" s="17" t="n">
        <f aca="false">K174*Parametros_Legales!$C$16</f>
        <v>124117</v>
      </c>
      <c r="U174" s="17" t="n">
        <f aca="false">K174*Parametros_Legales!$C$18</f>
        <v>124117</v>
      </c>
      <c r="V174" s="17" t="n">
        <f aca="false">K174*Parametros_Legales!$C$19</f>
        <v>62133</v>
      </c>
      <c r="W174" s="17" t="n">
        <f aca="false">K174+L174+Q174+R174+S174+T174+U174+V174</f>
        <v>2238767</v>
      </c>
    </row>
    <row r="175" customFormat="false" ht="15" hidden="false" customHeight="false" outlineLevel="0" collapsed="false">
      <c r="A175" s="14" t="n">
        <v>174</v>
      </c>
      <c r="B175" s="14" t="s">
        <v>506</v>
      </c>
      <c r="C175" s="14" t="s">
        <v>507</v>
      </c>
      <c r="D175" s="14" t="s">
        <v>122</v>
      </c>
      <c r="E175" s="14" t="s">
        <v>98</v>
      </c>
      <c r="F175" s="14" t="s">
        <v>147</v>
      </c>
      <c r="G175" s="21" t="n">
        <v>44434</v>
      </c>
      <c r="H175" s="14" t="s">
        <v>505</v>
      </c>
      <c r="I175" s="14" t="s">
        <v>161</v>
      </c>
      <c r="J175" s="14" t="s">
        <v>154</v>
      </c>
      <c r="K175" s="22" t="n">
        <v>1500000</v>
      </c>
      <c r="L175" s="15" t="n">
        <f aca="false">IF(K175&lt;=2*Parametros_Legales!$C$5,Parametros_Legales!$C$6,0)</f>
        <v>200000</v>
      </c>
      <c r="M175" s="15" t="n">
        <f aca="false">K175*Parametros_Legales!$C$7</f>
        <v>60000</v>
      </c>
      <c r="N175" s="15" t="n">
        <f aca="false">K175*(Parametros_Legales!$C$9+IF(K175&gt;=4*Parametros_Legales!$C$5,Parametros_Legales!$C$11,0))</f>
        <v>60000</v>
      </c>
      <c r="O175" s="15" t="n">
        <f aca="false">M175+N175</f>
        <v>120000</v>
      </c>
      <c r="P175" s="15" t="n">
        <f aca="false">K175+L175-O175</f>
        <v>1580000</v>
      </c>
      <c r="Q175" s="15" t="n">
        <f aca="false">IF(K175&lt;Parametros_Legales!$C$15,0,K175*Parametros_Legales!$C$8)</f>
        <v>0</v>
      </c>
      <c r="R175" s="15" t="n">
        <f aca="false">K175*Parametros_Legales!$C$10</f>
        <v>180000</v>
      </c>
      <c r="S175" s="15" t="n">
        <f aca="false">K175*Parametros_Legales!$C$12</f>
        <v>60000</v>
      </c>
      <c r="T175" s="15" t="n">
        <f aca="false">K175*Parametros_Legales!$C$16</f>
        <v>124950</v>
      </c>
      <c r="U175" s="15" t="n">
        <f aca="false">K175*Parametros_Legales!$C$18</f>
        <v>124950</v>
      </c>
      <c r="V175" s="15" t="n">
        <f aca="false">K175*Parametros_Legales!$C$19</f>
        <v>62550</v>
      </c>
      <c r="W175" s="15" t="n">
        <f aca="false">K175+L175+Q175+R175+S175+T175+U175+V175</f>
        <v>2252450</v>
      </c>
    </row>
    <row r="176" customFormat="false" ht="15" hidden="false" customHeight="false" outlineLevel="0" collapsed="false">
      <c r="A176" s="16" t="n">
        <v>175</v>
      </c>
      <c r="B176" s="16" t="s">
        <v>508</v>
      </c>
      <c r="C176" s="16" t="s">
        <v>509</v>
      </c>
      <c r="D176" s="16" t="s">
        <v>122</v>
      </c>
      <c r="E176" s="16" t="s">
        <v>98</v>
      </c>
      <c r="F176" s="16" t="s">
        <v>147</v>
      </c>
      <c r="G176" s="19" t="n">
        <v>44943</v>
      </c>
      <c r="H176" s="16" t="s">
        <v>505</v>
      </c>
      <c r="I176" s="16" t="s">
        <v>165</v>
      </c>
      <c r="J176" s="16" t="s">
        <v>158</v>
      </c>
      <c r="K176" s="20" t="n">
        <v>1450000</v>
      </c>
      <c r="L176" s="17" t="n">
        <f aca="false">IF(K176&lt;=2*Parametros_Legales!$C$5,Parametros_Legales!$C$6,0)</f>
        <v>200000</v>
      </c>
      <c r="M176" s="17" t="n">
        <f aca="false">K176*Parametros_Legales!$C$7</f>
        <v>58000</v>
      </c>
      <c r="N176" s="17" t="n">
        <f aca="false">K176*(Parametros_Legales!$C$9+IF(K176&gt;=4*Parametros_Legales!$C$5,Parametros_Legales!$C$11,0))</f>
        <v>58000</v>
      </c>
      <c r="O176" s="17" t="n">
        <f aca="false">M176+N176</f>
        <v>116000</v>
      </c>
      <c r="P176" s="17" t="n">
        <f aca="false">K176+L176-O176</f>
        <v>1534000</v>
      </c>
      <c r="Q176" s="17" t="n">
        <f aca="false">IF(K176&lt;Parametros_Legales!$C$15,0,K176*Parametros_Legales!$C$8)</f>
        <v>0</v>
      </c>
      <c r="R176" s="17" t="n">
        <f aca="false">K176*Parametros_Legales!$C$10</f>
        <v>174000</v>
      </c>
      <c r="S176" s="17" t="n">
        <f aca="false">K176*Parametros_Legales!$C$12</f>
        <v>58000</v>
      </c>
      <c r="T176" s="17" t="n">
        <f aca="false">K176*Parametros_Legales!$C$16</f>
        <v>120785</v>
      </c>
      <c r="U176" s="17" t="n">
        <f aca="false">K176*Parametros_Legales!$C$18</f>
        <v>120785</v>
      </c>
      <c r="V176" s="17" t="n">
        <f aca="false">K176*Parametros_Legales!$C$19</f>
        <v>60465</v>
      </c>
      <c r="W176" s="17" t="n">
        <f aca="false">K176+L176+Q176+R176+S176+T176+U176+V176</f>
        <v>2184035</v>
      </c>
    </row>
    <row r="177" customFormat="false" ht="15" hidden="false" customHeight="false" outlineLevel="0" collapsed="false">
      <c r="A177" s="14" t="n">
        <v>176</v>
      </c>
      <c r="B177" s="14" t="s">
        <v>510</v>
      </c>
      <c r="C177" s="14" t="s">
        <v>511</v>
      </c>
      <c r="D177" s="14" t="s">
        <v>122</v>
      </c>
      <c r="E177" s="14" t="s">
        <v>98</v>
      </c>
      <c r="F177" s="14" t="s">
        <v>147</v>
      </c>
      <c r="G177" s="21" t="n">
        <v>44350</v>
      </c>
      <c r="H177" s="14" t="s">
        <v>505</v>
      </c>
      <c r="I177" s="14" t="s">
        <v>149</v>
      </c>
      <c r="J177" s="14" t="s">
        <v>162</v>
      </c>
      <c r="K177" s="22" t="n">
        <v>1500000</v>
      </c>
      <c r="L177" s="15" t="n">
        <f aca="false">IF(K177&lt;=2*Parametros_Legales!$C$5,Parametros_Legales!$C$6,0)</f>
        <v>200000</v>
      </c>
      <c r="M177" s="15" t="n">
        <f aca="false">K177*Parametros_Legales!$C$7</f>
        <v>60000</v>
      </c>
      <c r="N177" s="15" t="n">
        <f aca="false">K177*(Parametros_Legales!$C$9+IF(K177&gt;=4*Parametros_Legales!$C$5,Parametros_Legales!$C$11,0))</f>
        <v>60000</v>
      </c>
      <c r="O177" s="15" t="n">
        <f aca="false">M177+N177</f>
        <v>120000</v>
      </c>
      <c r="P177" s="15" t="n">
        <f aca="false">K177+L177-O177</f>
        <v>1580000</v>
      </c>
      <c r="Q177" s="15" t="n">
        <f aca="false">IF(K177&lt;Parametros_Legales!$C$15,0,K177*Parametros_Legales!$C$8)</f>
        <v>0</v>
      </c>
      <c r="R177" s="15" t="n">
        <f aca="false">K177*Parametros_Legales!$C$10</f>
        <v>180000</v>
      </c>
      <c r="S177" s="15" t="n">
        <f aca="false">K177*Parametros_Legales!$C$12</f>
        <v>60000</v>
      </c>
      <c r="T177" s="15" t="n">
        <f aca="false">K177*Parametros_Legales!$C$16</f>
        <v>124950</v>
      </c>
      <c r="U177" s="15" t="n">
        <f aca="false">K177*Parametros_Legales!$C$18</f>
        <v>124950</v>
      </c>
      <c r="V177" s="15" t="n">
        <f aca="false">K177*Parametros_Legales!$C$19</f>
        <v>62550</v>
      </c>
      <c r="W177" s="15" t="n">
        <f aca="false">K177+L177+Q177+R177+S177+T177+U177+V177</f>
        <v>2252450</v>
      </c>
    </row>
    <row r="178" customFormat="false" ht="15" hidden="false" customHeight="false" outlineLevel="0" collapsed="false">
      <c r="A178" s="16" t="n">
        <v>177</v>
      </c>
      <c r="B178" s="16" t="s">
        <v>512</v>
      </c>
      <c r="C178" s="16" t="s">
        <v>513</v>
      </c>
      <c r="D178" s="16" t="s">
        <v>122</v>
      </c>
      <c r="E178" s="16" t="s">
        <v>98</v>
      </c>
      <c r="F178" s="16" t="s">
        <v>147</v>
      </c>
      <c r="G178" s="19" t="n">
        <v>44265</v>
      </c>
      <c r="H178" s="16" t="s">
        <v>505</v>
      </c>
      <c r="I178" s="16" t="s">
        <v>153</v>
      </c>
      <c r="J178" s="16" t="s">
        <v>150</v>
      </c>
      <c r="K178" s="20" t="n">
        <v>1470000</v>
      </c>
      <c r="L178" s="17" t="n">
        <f aca="false">IF(K178&lt;=2*Parametros_Legales!$C$5,Parametros_Legales!$C$6,0)</f>
        <v>200000</v>
      </c>
      <c r="M178" s="17" t="n">
        <f aca="false">K178*Parametros_Legales!$C$7</f>
        <v>58800</v>
      </c>
      <c r="N178" s="17" t="n">
        <f aca="false">K178*(Parametros_Legales!$C$9+IF(K178&gt;=4*Parametros_Legales!$C$5,Parametros_Legales!$C$11,0))</f>
        <v>58800</v>
      </c>
      <c r="O178" s="17" t="n">
        <f aca="false">M178+N178</f>
        <v>117600</v>
      </c>
      <c r="P178" s="17" t="n">
        <f aca="false">K178+L178-O178</f>
        <v>1552400</v>
      </c>
      <c r="Q178" s="17" t="n">
        <f aca="false">IF(K178&lt;Parametros_Legales!$C$15,0,K178*Parametros_Legales!$C$8)</f>
        <v>0</v>
      </c>
      <c r="R178" s="17" t="n">
        <f aca="false">K178*Parametros_Legales!$C$10</f>
        <v>176400</v>
      </c>
      <c r="S178" s="17" t="n">
        <f aca="false">K178*Parametros_Legales!$C$12</f>
        <v>58800</v>
      </c>
      <c r="T178" s="17" t="n">
        <f aca="false">K178*Parametros_Legales!$C$16</f>
        <v>122451</v>
      </c>
      <c r="U178" s="17" t="n">
        <f aca="false">K178*Parametros_Legales!$C$18</f>
        <v>122451</v>
      </c>
      <c r="V178" s="17" t="n">
        <f aca="false">K178*Parametros_Legales!$C$19</f>
        <v>61299</v>
      </c>
      <c r="W178" s="17" t="n">
        <f aca="false">K178+L178+Q178+R178+S178+T178+U178+V178</f>
        <v>2211401</v>
      </c>
    </row>
    <row r="179" customFormat="false" ht="15" hidden="false" customHeight="false" outlineLevel="0" collapsed="false">
      <c r="A179" s="14" t="n">
        <v>178</v>
      </c>
      <c r="B179" s="14" t="s">
        <v>514</v>
      </c>
      <c r="C179" s="14" t="s">
        <v>515</v>
      </c>
      <c r="D179" s="14" t="s">
        <v>122</v>
      </c>
      <c r="E179" s="14" t="s">
        <v>98</v>
      </c>
      <c r="F179" s="14" t="s">
        <v>147</v>
      </c>
      <c r="G179" s="21" t="n">
        <v>44163</v>
      </c>
      <c r="H179" s="14" t="s">
        <v>505</v>
      </c>
      <c r="I179" s="14" t="s">
        <v>157</v>
      </c>
      <c r="J179" s="14" t="s">
        <v>154</v>
      </c>
      <c r="K179" s="22" t="n">
        <v>1460000</v>
      </c>
      <c r="L179" s="15" t="n">
        <f aca="false">IF(K179&lt;=2*Parametros_Legales!$C$5,Parametros_Legales!$C$6,0)</f>
        <v>200000</v>
      </c>
      <c r="M179" s="15" t="n">
        <f aca="false">K179*Parametros_Legales!$C$7</f>
        <v>58400</v>
      </c>
      <c r="N179" s="15" t="n">
        <f aca="false">K179*(Parametros_Legales!$C$9+IF(K179&gt;=4*Parametros_Legales!$C$5,Parametros_Legales!$C$11,0))</f>
        <v>58400</v>
      </c>
      <c r="O179" s="15" t="n">
        <f aca="false">M179+N179</f>
        <v>116800</v>
      </c>
      <c r="P179" s="15" t="n">
        <f aca="false">K179+L179-O179</f>
        <v>1543200</v>
      </c>
      <c r="Q179" s="15" t="n">
        <f aca="false">IF(K179&lt;Parametros_Legales!$C$15,0,K179*Parametros_Legales!$C$8)</f>
        <v>0</v>
      </c>
      <c r="R179" s="15" t="n">
        <f aca="false">K179*Parametros_Legales!$C$10</f>
        <v>175200</v>
      </c>
      <c r="S179" s="15" t="n">
        <f aca="false">K179*Parametros_Legales!$C$12</f>
        <v>58400</v>
      </c>
      <c r="T179" s="15" t="n">
        <f aca="false">K179*Parametros_Legales!$C$16</f>
        <v>121618</v>
      </c>
      <c r="U179" s="15" t="n">
        <f aca="false">K179*Parametros_Legales!$C$18</f>
        <v>121618</v>
      </c>
      <c r="V179" s="15" t="n">
        <f aca="false">K179*Parametros_Legales!$C$19</f>
        <v>60882</v>
      </c>
      <c r="W179" s="15" t="n">
        <f aca="false">K179+L179+Q179+R179+S179+T179+U179+V179</f>
        <v>2197718</v>
      </c>
    </row>
    <row r="180" customFormat="false" ht="15" hidden="false" customHeight="false" outlineLevel="0" collapsed="false">
      <c r="A180" s="16" t="n">
        <v>179</v>
      </c>
      <c r="B180" s="16" t="s">
        <v>516</v>
      </c>
      <c r="C180" s="16" t="s">
        <v>517</v>
      </c>
      <c r="D180" s="16" t="s">
        <v>122</v>
      </c>
      <c r="E180" s="16" t="s">
        <v>98</v>
      </c>
      <c r="F180" s="16" t="s">
        <v>147</v>
      </c>
      <c r="G180" s="19" t="n">
        <v>44887</v>
      </c>
      <c r="H180" s="16" t="s">
        <v>505</v>
      </c>
      <c r="I180" s="16" t="s">
        <v>161</v>
      </c>
      <c r="J180" s="16" t="s">
        <v>158</v>
      </c>
      <c r="K180" s="20" t="n">
        <v>1500000</v>
      </c>
      <c r="L180" s="17" t="n">
        <f aca="false">IF(K180&lt;=2*Parametros_Legales!$C$5,Parametros_Legales!$C$6,0)</f>
        <v>200000</v>
      </c>
      <c r="M180" s="17" t="n">
        <f aca="false">K180*Parametros_Legales!$C$7</f>
        <v>60000</v>
      </c>
      <c r="N180" s="17" t="n">
        <f aca="false">K180*(Parametros_Legales!$C$9+IF(K180&gt;=4*Parametros_Legales!$C$5,Parametros_Legales!$C$11,0))</f>
        <v>60000</v>
      </c>
      <c r="O180" s="17" t="n">
        <f aca="false">M180+N180</f>
        <v>120000</v>
      </c>
      <c r="P180" s="17" t="n">
        <f aca="false">K180+L180-O180</f>
        <v>1580000</v>
      </c>
      <c r="Q180" s="17" t="n">
        <f aca="false">IF(K180&lt;Parametros_Legales!$C$15,0,K180*Parametros_Legales!$C$8)</f>
        <v>0</v>
      </c>
      <c r="R180" s="17" t="n">
        <f aca="false">K180*Parametros_Legales!$C$10</f>
        <v>180000</v>
      </c>
      <c r="S180" s="17" t="n">
        <f aca="false">K180*Parametros_Legales!$C$12</f>
        <v>60000</v>
      </c>
      <c r="T180" s="17" t="n">
        <f aca="false">K180*Parametros_Legales!$C$16</f>
        <v>124950</v>
      </c>
      <c r="U180" s="17" t="n">
        <f aca="false">K180*Parametros_Legales!$C$18</f>
        <v>124950</v>
      </c>
      <c r="V180" s="17" t="n">
        <f aca="false">K180*Parametros_Legales!$C$19</f>
        <v>62550</v>
      </c>
      <c r="W180" s="17" t="n">
        <f aca="false">K180+L180+Q180+R180+S180+T180+U180+V180</f>
        <v>2252450</v>
      </c>
    </row>
    <row r="181" customFormat="false" ht="15" hidden="false" customHeight="false" outlineLevel="0" collapsed="false">
      <c r="A181" s="14" t="n">
        <v>180</v>
      </c>
      <c r="B181" s="14" t="s">
        <v>518</v>
      </c>
      <c r="C181" s="14" t="s">
        <v>519</v>
      </c>
      <c r="D181" s="14" t="s">
        <v>122</v>
      </c>
      <c r="E181" s="14" t="s">
        <v>98</v>
      </c>
      <c r="F181" s="14" t="s">
        <v>147</v>
      </c>
      <c r="G181" s="21" t="n">
        <v>44946</v>
      </c>
      <c r="H181" s="14" t="s">
        <v>505</v>
      </c>
      <c r="I181" s="14" t="s">
        <v>165</v>
      </c>
      <c r="J181" s="14" t="s">
        <v>162</v>
      </c>
      <c r="K181" s="22" t="n">
        <v>1480000</v>
      </c>
      <c r="L181" s="15" t="n">
        <f aca="false">IF(K181&lt;=2*Parametros_Legales!$C$5,Parametros_Legales!$C$6,0)</f>
        <v>200000</v>
      </c>
      <c r="M181" s="15" t="n">
        <f aca="false">K181*Parametros_Legales!$C$7</f>
        <v>59200</v>
      </c>
      <c r="N181" s="15" t="n">
        <f aca="false">K181*(Parametros_Legales!$C$9+IF(K181&gt;=4*Parametros_Legales!$C$5,Parametros_Legales!$C$11,0))</f>
        <v>59200</v>
      </c>
      <c r="O181" s="15" t="n">
        <f aca="false">M181+N181</f>
        <v>118400</v>
      </c>
      <c r="P181" s="15" t="n">
        <f aca="false">K181+L181-O181</f>
        <v>1561600</v>
      </c>
      <c r="Q181" s="15" t="n">
        <f aca="false">IF(K181&lt;Parametros_Legales!$C$15,0,K181*Parametros_Legales!$C$8)</f>
        <v>0</v>
      </c>
      <c r="R181" s="15" t="n">
        <f aca="false">K181*Parametros_Legales!$C$10</f>
        <v>177600</v>
      </c>
      <c r="S181" s="15" t="n">
        <f aca="false">K181*Parametros_Legales!$C$12</f>
        <v>59200</v>
      </c>
      <c r="T181" s="15" t="n">
        <f aca="false">K181*Parametros_Legales!$C$16</f>
        <v>123284</v>
      </c>
      <c r="U181" s="15" t="n">
        <f aca="false">K181*Parametros_Legales!$C$18</f>
        <v>123284</v>
      </c>
      <c r="V181" s="15" t="n">
        <f aca="false">K181*Parametros_Legales!$C$19</f>
        <v>61716</v>
      </c>
      <c r="W181" s="15" t="n">
        <f aca="false">K181+L181+Q181+R181+S181+T181+U181+V181</f>
        <v>2225084</v>
      </c>
    </row>
    <row r="182" customFormat="false" ht="15" hidden="false" customHeight="false" outlineLevel="0" collapsed="false">
      <c r="A182" s="16" t="n">
        <v>181</v>
      </c>
      <c r="B182" s="16" t="s">
        <v>520</v>
      </c>
      <c r="C182" s="16" t="s">
        <v>521</v>
      </c>
      <c r="D182" s="16" t="s">
        <v>123</v>
      </c>
      <c r="E182" s="16" t="s">
        <v>100</v>
      </c>
      <c r="F182" s="16" t="s">
        <v>522</v>
      </c>
      <c r="G182" s="19" t="n">
        <v>46047</v>
      </c>
      <c r="H182" s="16" t="s">
        <v>148</v>
      </c>
      <c r="I182" s="16" t="s">
        <v>149</v>
      </c>
      <c r="J182" s="16" t="s">
        <v>523</v>
      </c>
      <c r="K182" s="20" t="n">
        <v>1067625</v>
      </c>
      <c r="L182" s="17" t="n">
        <f aca="false">IF(K182&lt;=2*Parametros_Legales!$C$5,Parametros_Legales!$C$6,0)</f>
        <v>200000</v>
      </c>
      <c r="M182" s="17" t="n">
        <f aca="false">K182*Parametros_Legales!$C$7</f>
        <v>42705</v>
      </c>
      <c r="N182" s="17" t="n">
        <f aca="false">K182*(Parametros_Legales!$C$9+IF(K182&gt;=4*Parametros_Legales!$C$5,Parametros_Legales!$C$11,0))</f>
        <v>42705</v>
      </c>
      <c r="O182" s="17" t="n">
        <f aca="false">M182+N182</f>
        <v>85410</v>
      </c>
      <c r="P182" s="17" t="n">
        <f aca="false">K182+L182-O182</f>
        <v>1182215</v>
      </c>
      <c r="Q182" s="17" t="n">
        <f aca="false">IF(K182&lt;Parametros_Legales!$C$15,0,K182*Parametros_Legales!$C$8)</f>
        <v>0</v>
      </c>
      <c r="R182" s="17" t="n">
        <f aca="false">K182*Parametros_Legales!$C$10</f>
        <v>128115</v>
      </c>
      <c r="S182" s="17" t="n">
        <f aca="false">K182*Parametros_Legales!$C$12</f>
        <v>42705</v>
      </c>
      <c r="T182" s="17" t="n">
        <f aca="false">K182*Parametros_Legales!$C$16</f>
        <v>88933.1625</v>
      </c>
      <c r="U182" s="17" t="n">
        <f aca="false">K182*Parametros_Legales!$C$18</f>
        <v>88933.1625</v>
      </c>
      <c r="V182" s="17" t="n">
        <f aca="false">K182*Parametros_Legales!$C$19</f>
        <v>44519.9625</v>
      </c>
      <c r="W182" s="17" t="n">
        <f aca="false">K182+L182+Q182+R182+S182+T182+U182+V182</f>
        <v>1660831.2875</v>
      </c>
    </row>
    <row r="183" customFormat="false" ht="15" hidden="false" customHeight="false" outlineLevel="0" collapsed="false">
      <c r="A183" s="14" t="n">
        <v>182</v>
      </c>
      <c r="B183" s="14" t="s">
        <v>524</v>
      </c>
      <c r="C183" s="14" t="s">
        <v>525</v>
      </c>
      <c r="D183" s="14" t="s">
        <v>123</v>
      </c>
      <c r="E183" s="14" t="s">
        <v>100</v>
      </c>
      <c r="F183" s="14" t="s">
        <v>522</v>
      </c>
      <c r="G183" s="21" t="n">
        <v>46001</v>
      </c>
      <c r="H183" s="14" t="s">
        <v>148</v>
      </c>
      <c r="I183" s="14" t="s">
        <v>153</v>
      </c>
      <c r="J183" s="14" t="s">
        <v>523</v>
      </c>
      <c r="K183" s="22" t="n">
        <v>1067625</v>
      </c>
      <c r="L183" s="15" t="n">
        <f aca="false">IF(K183&lt;=2*Parametros_Legales!$C$5,Parametros_Legales!$C$6,0)</f>
        <v>200000</v>
      </c>
      <c r="M183" s="15" t="n">
        <f aca="false">K183*Parametros_Legales!$C$7</f>
        <v>42705</v>
      </c>
      <c r="N183" s="15" t="n">
        <f aca="false">K183*(Parametros_Legales!$C$9+IF(K183&gt;=4*Parametros_Legales!$C$5,Parametros_Legales!$C$11,0))</f>
        <v>42705</v>
      </c>
      <c r="O183" s="15" t="n">
        <f aca="false">M183+N183</f>
        <v>85410</v>
      </c>
      <c r="P183" s="15" t="n">
        <f aca="false">K183+L183-O183</f>
        <v>1182215</v>
      </c>
      <c r="Q183" s="15" t="n">
        <f aca="false">IF(K183&lt;Parametros_Legales!$C$15,0,K183*Parametros_Legales!$C$8)</f>
        <v>0</v>
      </c>
      <c r="R183" s="15" t="n">
        <f aca="false">K183*Parametros_Legales!$C$10</f>
        <v>128115</v>
      </c>
      <c r="S183" s="15" t="n">
        <f aca="false">K183*Parametros_Legales!$C$12</f>
        <v>42705</v>
      </c>
      <c r="T183" s="15" t="n">
        <f aca="false">K183*Parametros_Legales!$C$16</f>
        <v>88933.1625</v>
      </c>
      <c r="U183" s="15" t="n">
        <f aca="false">K183*Parametros_Legales!$C$18</f>
        <v>88933.1625</v>
      </c>
      <c r="V183" s="15" t="n">
        <f aca="false">K183*Parametros_Legales!$C$19</f>
        <v>44519.9625</v>
      </c>
      <c r="W183" s="15" t="n">
        <f aca="false">K183+L183+Q183+R183+S183+T183+U183+V183</f>
        <v>1660831.2875</v>
      </c>
    </row>
    <row r="184" customFormat="false" ht="15" hidden="false" customHeight="false" outlineLevel="0" collapsed="false">
      <c r="A184" s="16" t="n">
        <v>183</v>
      </c>
      <c r="B184" s="16" t="s">
        <v>526</v>
      </c>
      <c r="C184" s="16" t="s">
        <v>527</v>
      </c>
      <c r="D184" s="16" t="s">
        <v>123</v>
      </c>
      <c r="E184" s="16" t="s">
        <v>100</v>
      </c>
      <c r="F184" s="16" t="s">
        <v>522</v>
      </c>
      <c r="G184" s="19" t="n">
        <v>46166</v>
      </c>
      <c r="H184" s="16" t="s">
        <v>148</v>
      </c>
      <c r="I184" s="16" t="s">
        <v>157</v>
      </c>
      <c r="J184" s="16" t="s">
        <v>523</v>
      </c>
      <c r="K184" s="20" t="n">
        <v>1067625</v>
      </c>
      <c r="L184" s="17" t="n">
        <f aca="false">IF(K184&lt;=2*Parametros_Legales!$C$5,Parametros_Legales!$C$6,0)</f>
        <v>200000</v>
      </c>
      <c r="M184" s="17" t="n">
        <f aca="false">K184*Parametros_Legales!$C$7</f>
        <v>42705</v>
      </c>
      <c r="N184" s="17" t="n">
        <f aca="false">K184*(Parametros_Legales!$C$9+IF(K184&gt;=4*Parametros_Legales!$C$5,Parametros_Legales!$C$11,0))</f>
        <v>42705</v>
      </c>
      <c r="O184" s="17" t="n">
        <f aca="false">M184+N184</f>
        <v>85410</v>
      </c>
      <c r="P184" s="17" t="n">
        <f aca="false">K184+L184-O184</f>
        <v>1182215</v>
      </c>
      <c r="Q184" s="17" t="n">
        <f aca="false">IF(K184&lt;Parametros_Legales!$C$15,0,K184*Parametros_Legales!$C$8)</f>
        <v>0</v>
      </c>
      <c r="R184" s="17" t="n">
        <f aca="false">K184*Parametros_Legales!$C$10</f>
        <v>128115</v>
      </c>
      <c r="S184" s="17" t="n">
        <f aca="false">K184*Parametros_Legales!$C$12</f>
        <v>42705</v>
      </c>
      <c r="T184" s="17" t="n">
        <f aca="false">K184*Parametros_Legales!$C$16</f>
        <v>88933.1625</v>
      </c>
      <c r="U184" s="17" t="n">
        <f aca="false">K184*Parametros_Legales!$C$18</f>
        <v>88933.1625</v>
      </c>
      <c r="V184" s="17" t="n">
        <f aca="false">K184*Parametros_Legales!$C$19</f>
        <v>44519.9625</v>
      </c>
      <c r="W184" s="17" t="n">
        <f aca="false">K184+L184+Q184+R184+S184+T184+U184+V184</f>
        <v>1660831.2875</v>
      </c>
    </row>
    <row r="185" customFormat="false" ht="15" hidden="false" customHeight="false" outlineLevel="0" collapsed="false">
      <c r="A185" s="14" t="n">
        <v>184</v>
      </c>
      <c r="B185" s="14" t="s">
        <v>528</v>
      </c>
      <c r="C185" s="14" t="s">
        <v>529</v>
      </c>
      <c r="D185" s="14" t="s">
        <v>123</v>
      </c>
      <c r="E185" s="14" t="s">
        <v>100</v>
      </c>
      <c r="F185" s="14" t="s">
        <v>522</v>
      </c>
      <c r="G185" s="21" t="n">
        <v>46074</v>
      </c>
      <c r="H185" s="14" t="s">
        <v>148</v>
      </c>
      <c r="I185" s="14" t="s">
        <v>161</v>
      </c>
      <c r="J185" s="14" t="s">
        <v>523</v>
      </c>
      <c r="K185" s="22" t="n">
        <v>1067625</v>
      </c>
      <c r="L185" s="15" t="n">
        <f aca="false">IF(K185&lt;=2*Parametros_Legales!$C$5,Parametros_Legales!$C$6,0)</f>
        <v>200000</v>
      </c>
      <c r="M185" s="15" t="n">
        <f aca="false">K185*Parametros_Legales!$C$7</f>
        <v>42705</v>
      </c>
      <c r="N185" s="15" t="n">
        <f aca="false">K185*(Parametros_Legales!$C$9+IF(K185&gt;=4*Parametros_Legales!$C$5,Parametros_Legales!$C$11,0))</f>
        <v>42705</v>
      </c>
      <c r="O185" s="15" t="n">
        <f aca="false">M185+N185</f>
        <v>85410</v>
      </c>
      <c r="P185" s="15" t="n">
        <f aca="false">K185+L185-O185</f>
        <v>1182215</v>
      </c>
      <c r="Q185" s="15" t="n">
        <f aca="false">IF(K185&lt;Parametros_Legales!$C$15,0,K185*Parametros_Legales!$C$8)</f>
        <v>0</v>
      </c>
      <c r="R185" s="15" t="n">
        <f aca="false">K185*Parametros_Legales!$C$10</f>
        <v>128115</v>
      </c>
      <c r="S185" s="15" t="n">
        <f aca="false">K185*Parametros_Legales!$C$12</f>
        <v>42705</v>
      </c>
      <c r="T185" s="15" t="n">
        <f aca="false">K185*Parametros_Legales!$C$16</f>
        <v>88933.1625</v>
      </c>
      <c r="U185" s="15" t="n">
        <f aca="false">K185*Parametros_Legales!$C$18</f>
        <v>88933.1625</v>
      </c>
      <c r="V185" s="15" t="n">
        <f aca="false">K185*Parametros_Legales!$C$19</f>
        <v>44519.9625</v>
      </c>
      <c r="W185" s="15" t="n">
        <f aca="false">K185+L185+Q185+R185+S185+T185+U185+V185</f>
        <v>1660831.2875</v>
      </c>
    </row>
    <row r="186" customFormat="false" ht="15" hidden="false" customHeight="false" outlineLevel="0" collapsed="false">
      <c r="A186" s="16" t="n">
        <v>185</v>
      </c>
      <c r="B186" s="16" t="s">
        <v>530</v>
      </c>
      <c r="C186" s="16" t="s">
        <v>531</v>
      </c>
      <c r="D186" s="16" t="s">
        <v>123</v>
      </c>
      <c r="E186" s="16" t="s">
        <v>100</v>
      </c>
      <c r="F186" s="16" t="s">
        <v>522</v>
      </c>
      <c r="G186" s="19" t="n">
        <v>46236</v>
      </c>
      <c r="H186" s="16" t="s">
        <v>148</v>
      </c>
      <c r="I186" s="16" t="s">
        <v>165</v>
      </c>
      <c r="J186" s="16" t="s">
        <v>523</v>
      </c>
      <c r="K186" s="20" t="n">
        <v>1067625</v>
      </c>
      <c r="L186" s="17" t="n">
        <f aca="false">IF(K186&lt;=2*Parametros_Legales!$C$5,Parametros_Legales!$C$6,0)</f>
        <v>200000</v>
      </c>
      <c r="M186" s="17" t="n">
        <f aca="false">K186*Parametros_Legales!$C$7</f>
        <v>42705</v>
      </c>
      <c r="N186" s="17" t="n">
        <f aca="false">K186*(Parametros_Legales!$C$9+IF(K186&gt;=4*Parametros_Legales!$C$5,Parametros_Legales!$C$11,0))</f>
        <v>42705</v>
      </c>
      <c r="O186" s="17" t="n">
        <f aca="false">M186+N186</f>
        <v>85410</v>
      </c>
      <c r="P186" s="17" t="n">
        <f aca="false">K186+L186-O186</f>
        <v>1182215</v>
      </c>
      <c r="Q186" s="17" t="n">
        <f aca="false">IF(K186&lt;Parametros_Legales!$C$15,0,K186*Parametros_Legales!$C$8)</f>
        <v>0</v>
      </c>
      <c r="R186" s="17" t="n">
        <f aca="false">K186*Parametros_Legales!$C$10</f>
        <v>128115</v>
      </c>
      <c r="S186" s="17" t="n">
        <f aca="false">K186*Parametros_Legales!$C$12</f>
        <v>42705</v>
      </c>
      <c r="T186" s="17" t="n">
        <f aca="false">K186*Parametros_Legales!$C$16</f>
        <v>88933.1625</v>
      </c>
      <c r="U186" s="17" t="n">
        <f aca="false">K186*Parametros_Legales!$C$18</f>
        <v>88933.1625</v>
      </c>
      <c r="V186" s="17" t="n">
        <f aca="false">K186*Parametros_Legales!$C$19</f>
        <v>44519.9625</v>
      </c>
      <c r="W186" s="17" t="n">
        <f aca="false">K186+L186+Q186+R186+S186+T186+U186+V186</f>
        <v>1660831.2875</v>
      </c>
    </row>
    <row r="187" customFormat="false" ht="15" hidden="false" customHeight="false" outlineLevel="0" collapsed="false">
      <c r="A187" s="14" t="n">
        <v>186</v>
      </c>
      <c r="B187" s="14" t="s">
        <v>532</v>
      </c>
      <c r="C187" s="14" t="s">
        <v>533</v>
      </c>
      <c r="D187" s="14" t="s">
        <v>123</v>
      </c>
      <c r="E187" s="14" t="s">
        <v>100</v>
      </c>
      <c r="F187" s="14" t="s">
        <v>522</v>
      </c>
      <c r="G187" s="21" t="n">
        <v>46205</v>
      </c>
      <c r="H187" s="14" t="s">
        <v>148</v>
      </c>
      <c r="I187" s="14" t="s">
        <v>149</v>
      </c>
      <c r="J187" s="14" t="s">
        <v>523</v>
      </c>
      <c r="K187" s="22" t="n">
        <v>1067625</v>
      </c>
      <c r="L187" s="15" t="n">
        <f aca="false">IF(K187&lt;=2*Parametros_Legales!$C$5,Parametros_Legales!$C$6,0)</f>
        <v>200000</v>
      </c>
      <c r="M187" s="15" t="n">
        <f aca="false">K187*Parametros_Legales!$C$7</f>
        <v>42705</v>
      </c>
      <c r="N187" s="15" t="n">
        <f aca="false">K187*(Parametros_Legales!$C$9+IF(K187&gt;=4*Parametros_Legales!$C$5,Parametros_Legales!$C$11,0))</f>
        <v>42705</v>
      </c>
      <c r="O187" s="15" t="n">
        <f aca="false">M187+N187</f>
        <v>85410</v>
      </c>
      <c r="P187" s="15" t="n">
        <f aca="false">K187+L187-O187</f>
        <v>1182215</v>
      </c>
      <c r="Q187" s="15" t="n">
        <f aca="false">IF(K187&lt;Parametros_Legales!$C$15,0,K187*Parametros_Legales!$C$8)</f>
        <v>0</v>
      </c>
      <c r="R187" s="15" t="n">
        <f aca="false">K187*Parametros_Legales!$C$10</f>
        <v>128115</v>
      </c>
      <c r="S187" s="15" t="n">
        <f aca="false">K187*Parametros_Legales!$C$12</f>
        <v>42705</v>
      </c>
      <c r="T187" s="15" t="n">
        <f aca="false">K187*Parametros_Legales!$C$16</f>
        <v>88933.1625</v>
      </c>
      <c r="U187" s="15" t="n">
        <f aca="false">K187*Parametros_Legales!$C$18</f>
        <v>88933.1625</v>
      </c>
      <c r="V187" s="15" t="n">
        <f aca="false">K187*Parametros_Legales!$C$19</f>
        <v>44519.9625</v>
      </c>
      <c r="W187" s="15" t="n">
        <f aca="false">K187+L187+Q187+R187+S187+T187+U187+V187</f>
        <v>1660831.2875</v>
      </c>
    </row>
    <row r="188" customFormat="false" ht="15" hidden="false" customHeight="false" outlineLevel="0" collapsed="false">
      <c r="A188" s="16" t="n">
        <v>187</v>
      </c>
      <c r="B188" s="16" t="s">
        <v>534</v>
      </c>
      <c r="C188" s="16" t="s">
        <v>535</v>
      </c>
      <c r="D188" s="16" t="s">
        <v>123</v>
      </c>
      <c r="E188" s="16" t="s">
        <v>100</v>
      </c>
      <c r="F188" s="16" t="s">
        <v>522</v>
      </c>
      <c r="G188" s="19" t="n">
        <v>46040</v>
      </c>
      <c r="H188" s="16" t="s">
        <v>148</v>
      </c>
      <c r="I188" s="16" t="s">
        <v>153</v>
      </c>
      <c r="J188" s="16" t="s">
        <v>523</v>
      </c>
      <c r="K188" s="20" t="n">
        <v>1067625</v>
      </c>
      <c r="L188" s="17" t="n">
        <f aca="false">IF(K188&lt;=2*Parametros_Legales!$C$5,Parametros_Legales!$C$6,0)</f>
        <v>200000</v>
      </c>
      <c r="M188" s="17" t="n">
        <f aca="false">K188*Parametros_Legales!$C$7</f>
        <v>42705</v>
      </c>
      <c r="N188" s="17" t="n">
        <f aca="false">K188*(Parametros_Legales!$C$9+IF(K188&gt;=4*Parametros_Legales!$C$5,Parametros_Legales!$C$11,0))</f>
        <v>42705</v>
      </c>
      <c r="O188" s="17" t="n">
        <f aca="false">M188+N188</f>
        <v>85410</v>
      </c>
      <c r="P188" s="17" t="n">
        <f aca="false">K188+L188-O188</f>
        <v>1182215</v>
      </c>
      <c r="Q188" s="17" t="n">
        <f aca="false">IF(K188&lt;Parametros_Legales!$C$15,0,K188*Parametros_Legales!$C$8)</f>
        <v>0</v>
      </c>
      <c r="R188" s="17" t="n">
        <f aca="false">K188*Parametros_Legales!$C$10</f>
        <v>128115</v>
      </c>
      <c r="S188" s="17" t="n">
        <f aca="false">K188*Parametros_Legales!$C$12</f>
        <v>42705</v>
      </c>
      <c r="T188" s="17" t="n">
        <f aca="false">K188*Parametros_Legales!$C$16</f>
        <v>88933.1625</v>
      </c>
      <c r="U188" s="17" t="n">
        <f aca="false">K188*Parametros_Legales!$C$18</f>
        <v>88933.1625</v>
      </c>
      <c r="V188" s="17" t="n">
        <f aca="false">K188*Parametros_Legales!$C$19</f>
        <v>44519.9625</v>
      </c>
      <c r="W188" s="17" t="n">
        <f aca="false">K188+L188+Q188+R188+S188+T188+U188+V188</f>
        <v>1660831.2875</v>
      </c>
    </row>
    <row r="189" customFormat="false" ht="15" hidden="false" customHeight="false" outlineLevel="0" collapsed="false">
      <c r="J189" s="13" t="s">
        <v>536</v>
      </c>
      <c r="K189" s="23" t="n">
        <f aca="false">SUM(K2:K188)</f>
        <v>492526375</v>
      </c>
      <c r="L189" s="23" t="n">
        <f aca="false">SUM(L2:L188)</f>
        <v>30200000</v>
      </c>
      <c r="M189" s="23" t="n">
        <f aca="false">SUM(M2:M188)</f>
        <v>19701055</v>
      </c>
      <c r="N189" s="23" t="n">
        <f aca="false">SUM(N2:N188)</f>
        <v>21263055</v>
      </c>
      <c r="O189" s="23" t="n">
        <f aca="false">SUM(O2:O188)</f>
        <v>40964110</v>
      </c>
      <c r="P189" s="23" t="n">
        <f aca="false">SUM(P2:P188)</f>
        <v>481762265</v>
      </c>
      <c r="Q189" s="23" t="n">
        <f aca="false">SUM(Q2:Q188)</f>
        <v>9222500</v>
      </c>
      <c r="R189" s="23" t="n">
        <f aca="false">SUM(R2:R188)</f>
        <v>59103165</v>
      </c>
      <c r="S189" s="23" t="n">
        <f aca="false">SUM(S2:S188)</f>
        <v>19701055</v>
      </c>
      <c r="T189" s="23" t="n">
        <f aca="false">SUM(T2:T188)</f>
        <v>41027447.0375</v>
      </c>
      <c r="U189" s="23" t="n">
        <f aca="false">SUM(U2:U188)</f>
        <v>41027447.0375</v>
      </c>
      <c r="V189" s="23" t="n">
        <f aca="false">SUM(V2:V188)</f>
        <v>20538349.8375</v>
      </c>
      <c r="W189" s="23" t="n">
        <f aca="false">SUM(W2:W188)</f>
        <v>713346338.9125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2026-08-09T18:52:44Z</dcterms:created>
  <dc:creator>openpyxl</dc:creator>
  <dc:description/>
  <dc:language>en-US</dc:language>
  <cp:lastModifiedBy/>
  <dcterms:modified xsi:type="dcterms:W3CDTF">2026-08-09T18:52:44Z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