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talle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<sst xmlns="http://schemas.openxmlformats.org/spreadsheetml/2006/main" count="1092" uniqueCount="294">
  <si>
    <t xml:space="preserve">ID</t>
  </si>
  <si>
    <t xml:space="preserve">Fecha Registro</t>
  </si>
  <si>
    <t xml:space="preserve">Tipo</t>
  </si>
  <si>
    <t xml:space="preserve">Categoría</t>
  </si>
  <si>
    <t xml:space="preserve">Cliente/Interno</t>
  </si>
  <si>
    <t xml:space="preserve">Descripción</t>
  </si>
  <si>
    <t xml:space="preserve">Departamento Responsable</t>
  </si>
  <si>
    <t xml:space="preserve">Prioridad</t>
  </si>
  <si>
    <t xml:space="preserve">Estado</t>
  </si>
  <si>
    <t xml:space="preserve">Causa Raíz</t>
  </si>
  <si>
    <t xml:space="preserve">Acción Correctiva</t>
  </si>
  <si>
    <t xml:space="preserve">Fecha Resolución</t>
  </si>
  <si>
    <t xml:space="preserve">Días para Resolver</t>
  </si>
  <si>
    <t xml:space="preserve">Costo Impacto (COP)</t>
  </si>
  <si>
    <t xml:space="preserve">Seguimiento</t>
  </si>
  <si>
    <t xml:space="preserve">PQRS-001</t>
  </si>
  <si>
    <t xml:space="preserve">Reclamo</t>
  </si>
  <si>
    <t xml:space="preserve">Entrega/Logística</t>
  </si>
  <si>
    <t xml:space="preserve">Tienda El Trebol</t>
  </si>
  <si>
    <t xml:space="preserve">Los empaques llegaron golpeados por mal manejo durante el transporte.</t>
  </si>
  <si>
    <t xml:space="preserve">Logística y Distribución</t>
  </si>
  <si>
    <t xml:space="preserve">Alta</t>
  </si>
  <si>
    <t xml:space="preserve">Resuelto</t>
  </si>
  <si>
    <t xml:space="preserve">Ruta de reparto mal planificada para la zona.</t>
  </si>
  <si>
    <t xml:space="preserve">Se reenvió el faltante en un despacho adicional sin costo.</t>
  </si>
  <si>
    <t xml:space="preserve">Sí</t>
  </si>
  <si>
    <t xml:space="preserve">PQRS-002</t>
  </si>
  <si>
    <t xml:space="preserve">Petición</t>
  </si>
  <si>
    <t xml:space="preserve">Facturación</t>
  </si>
  <si>
    <t xml:space="preserve">Panadería San Fernando</t>
  </si>
  <si>
    <t xml:space="preserve">La factura tiene un valor distinto al acordado en el pedido.</t>
  </si>
  <si>
    <t xml:space="preserve">Finanzas y Contabilidad</t>
  </si>
  <si>
    <t xml:space="preserve">Crítica</t>
  </si>
  <si>
    <t xml:space="preserve">Abierto</t>
  </si>
  <si>
    <t xml:space="preserve">PQRS-003</t>
  </si>
  <si>
    <t xml:space="preserve">Sugerencia</t>
  </si>
  <si>
    <t xml:space="preserve">Deposito San Roque</t>
  </si>
  <si>
    <t xml:space="preserve">Se solicita ampliar la frecuencia de reparto para la zona.</t>
  </si>
  <si>
    <t xml:space="preserve">Baja</t>
  </si>
  <si>
    <t xml:space="preserve">En proceso</t>
  </si>
  <si>
    <t xml:space="preserve">PQRS-004</t>
  </si>
  <si>
    <t xml:space="preserve">Queja</t>
  </si>
  <si>
    <t xml:space="preserve">Supermercado Ahorro Costeño</t>
  </si>
  <si>
    <t xml:space="preserve">Error en el alistamiento de pedido en bodega.</t>
  </si>
  <si>
    <t xml:space="preserve">Se reasignó la ruta y se coordinó nuevo horario con el cliente.</t>
  </si>
  <si>
    <t xml:space="preserve">PQRS-005</t>
  </si>
  <si>
    <t xml:space="preserve">Hospital Del Caribe</t>
  </si>
  <si>
    <t xml:space="preserve">El cliente no ha recibido la factura electrónica del pedido.</t>
  </si>
  <si>
    <t xml:space="preserve">Media</t>
  </si>
  <si>
    <t xml:space="preserve">Falla en el envío automático de la factura electrónica.</t>
  </si>
  <si>
    <t xml:space="preserve">PQRS-006</t>
  </si>
  <si>
    <t xml:space="preserve">Calidad producto</t>
  </si>
  <si>
    <t xml:space="preserve">Tienda El Faro</t>
  </si>
  <si>
    <t xml:space="preserve">El cliente reporta sabor o textura distinta a la habitual del producto.</t>
  </si>
  <si>
    <t xml:space="preserve">Bodega y Almacén</t>
  </si>
  <si>
    <t xml:space="preserve">Condiciones de almacenamiento inadecuadas (humedad/temperatura).</t>
  </si>
  <si>
    <t xml:space="preserve">Se ajustaron las condiciones de almacenamiento en la bodega regional.</t>
  </si>
  <si>
    <t xml:space="preserve">PQRS-007</t>
  </si>
  <si>
    <t xml:space="preserve">Servicio</t>
  </si>
  <si>
    <t xml:space="preserve">Autoservicios La Bonanza</t>
  </si>
  <si>
    <t xml:space="preserve">El cliente solicita más información sobre el catálogo de productos.</t>
  </si>
  <si>
    <t xml:space="preserve">Servicio al Cliente</t>
  </si>
  <si>
    <t xml:space="preserve">PQRS-008</t>
  </si>
  <si>
    <t xml:space="preserve">Casino La Sagrada Familia</t>
  </si>
  <si>
    <t xml:space="preserve">El pedido llegó incompleto; faltaron varias referencias de la orden.</t>
  </si>
  <si>
    <t xml:space="preserve">PQRS-009</t>
  </si>
  <si>
    <t xml:space="preserve">Supermercado La Economía</t>
  </si>
  <si>
    <t xml:space="preserve">El producto llegó próximo a su fecha de vencimiento.</t>
  </si>
  <si>
    <t xml:space="preserve">PQRS-010</t>
  </si>
  <si>
    <t xml:space="preserve">Hipermercado La 15</t>
  </si>
  <si>
    <t xml:space="preserve">PQRS-011</t>
  </si>
  <si>
    <t xml:space="preserve">Autoservicio Don Pedro</t>
  </si>
  <si>
    <t xml:space="preserve">La entrega llegó con más de 3 días de retraso frente a lo acordado.</t>
  </si>
  <si>
    <t xml:space="preserve">Congestión vial no prevista en la planeación de ruta.</t>
  </si>
  <si>
    <t xml:space="preserve">Se realizó reposición del producto dañado y se ajustó el embalaje.</t>
  </si>
  <si>
    <t xml:space="preserve">PQRS-012</t>
  </si>
  <si>
    <t xml:space="preserve">Fundación La Sagrada Familia</t>
  </si>
  <si>
    <t xml:space="preserve">PQRS-013</t>
  </si>
  <si>
    <t xml:space="preserve">Minimercado Don Pedro</t>
  </si>
  <si>
    <t xml:space="preserve">Cerrado</t>
  </si>
  <si>
    <t xml:space="preserve">PQRS-014</t>
  </si>
  <si>
    <t xml:space="preserve">Otra</t>
  </si>
  <si>
    <t xml:space="preserve">Solicitud de información sobre el proceso de vinculación como proveedor.</t>
  </si>
  <si>
    <t xml:space="preserve">Gerencia General</t>
  </si>
  <si>
    <t xml:space="preserve">PQRS-015</t>
  </si>
  <si>
    <t xml:space="preserve">Minimercado San Judas</t>
  </si>
  <si>
    <t xml:space="preserve">Se cobró un producto que no fue entregado.</t>
  </si>
  <si>
    <t xml:space="preserve">PQRS-016</t>
  </si>
  <si>
    <t xml:space="preserve">Deposito Las Delicias</t>
  </si>
  <si>
    <t xml:space="preserve">Solicitud de visita comercial para evaluar nuevas líneas de producto.</t>
  </si>
  <si>
    <t xml:space="preserve">Solicitud de información, no aplica causa raíz.</t>
  </si>
  <si>
    <t xml:space="preserve">Se brindó la información solicitada al cliente.</t>
  </si>
  <si>
    <t xml:space="preserve">No</t>
  </si>
  <si>
    <t xml:space="preserve">PQRS-017</t>
  </si>
  <si>
    <t xml:space="preserve">Cafetería Empresarial La Popa</t>
  </si>
  <si>
    <t xml:space="preserve">PQRS-018</t>
  </si>
  <si>
    <t xml:space="preserve">Autoservicio La Costeña</t>
  </si>
  <si>
    <t xml:space="preserve">Personal de reparto nuevo sin inducción completa.</t>
  </si>
  <si>
    <t xml:space="preserve">PQRS-019</t>
  </si>
  <si>
    <t xml:space="preserve">Clínica Nuestra Señora del Carmen</t>
  </si>
  <si>
    <t xml:space="preserve">El vehículo de reparto llegó fuera del horario pactado con la tienda.</t>
  </si>
  <si>
    <t xml:space="preserve">Se reforzó el checklist de alistamiento antes de despacho.</t>
  </si>
  <si>
    <t xml:space="preserve">PQRS-020</t>
  </si>
  <si>
    <t xml:space="preserve">Interno - Logística y Distribución</t>
  </si>
  <si>
    <t xml:space="preserve">Se identificó un lote con etiquetado incorrecto de fecha de vencimiento.</t>
  </si>
  <si>
    <t xml:space="preserve">Se cambió el producto y se reforzó la rotación FIFO en bodega.</t>
  </si>
  <si>
    <t xml:space="preserve">PQRS-021</t>
  </si>
  <si>
    <t xml:space="preserve">Autoservicios Mercar</t>
  </si>
  <si>
    <t xml:space="preserve">Se retiró el lote afectado y se notificó al proveedor.</t>
  </si>
  <si>
    <t xml:space="preserve">PQRS-022</t>
  </si>
  <si>
    <t xml:space="preserve">Se solicita revisar la calidad del último lote despachado.</t>
  </si>
  <si>
    <t xml:space="preserve">PQRS-023</t>
  </si>
  <si>
    <t xml:space="preserve">Hipermercado El Cacique</t>
  </si>
  <si>
    <t xml:space="preserve">No se dio seguimiento oportuno a una solicitud anterior.</t>
  </si>
  <si>
    <t xml:space="preserve">Sobrecarga de casos en el equipo de servicio al cliente.</t>
  </si>
  <si>
    <t xml:space="preserve">Se agendó capacitación para el equipo de servicio al cliente.</t>
  </si>
  <si>
    <t xml:space="preserve">PQRS-024</t>
  </si>
  <si>
    <t xml:space="preserve">Hipermercado Ahorro Costeño</t>
  </si>
  <si>
    <t xml:space="preserve">PQRS-025</t>
  </si>
  <si>
    <t xml:space="preserve">Clínica San José</t>
  </si>
  <si>
    <t xml:space="preserve">PQRS-026</t>
  </si>
  <si>
    <t xml:space="preserve">Hipermercado La Economía</t>
  </si>
  <si>
    <t xml:space="preserve">Se recibió mercancía de una referencia distinta a la solicitada.</t>
  </si>
  <si>
    <t xml:space="preserve">PQRS-027</t>
  </si>
  <si>
    <t xml:space="preserve">Autoservicios Central</t>
  </si>
  <si>
    <t xml:space="preserve">PQRS-028</t>
  </si>
  <si>
    <t xml:space="preserve">Tienda El Paisa</t>
  </si>
  <si>
    <t xml:space="preserve">El cliente reporta demora en la respuesta del asesor comercial.</t>
  </si>
  <si>
    <t xml:space="preserve">Falta de protocolo claro de respuesta a clientes.</t>
  </si>
  <si>
    <t xml:space="preserve">Se reforzó el protocolo de atención con el equipo comercial.</t>
  </si>
  <si>
    <t xml:space="preserve">PQRS-029</t>
  </si>
  <si>
    <t xml:space="preserve">Autoservicio San Judas</t>
  </si>
  <si>
    <t xml:space="preserve">Falla de comunicación entre bodega y transporte.</t>
  </si>
  <si>
    <t xml:space="preserve">PQRS-030</t>
  </si>
  <si>
    <t xml:space="preserve">Colegio El Bosque</t>
  </si>
  <si>
    <t xml:space="preserve">El cliente reporta presencia de cuerpo extraño en el producto.</t>
  </si>
  <si>
    <t xml:space="preserve">Rotación de inventario (FIFO) no aplicada correctamente en bodega.</t>
  </si>
  <si>
    <t xml:space="preserve">PQRS-031</t>
  </si>
  <si>
    <t xml:space="preserve">Interno - Bodega y Almacén</t>
  </si>
  <si>
    <t xml:space="preserve">PQRS-032</t>
  </si>
  <si>
    <t xml:space="preserve">PQRS-033</t>
  </si>
  <si>
    <t xml:space="preserve">Existe una diferencia entre el precio pactado y el facturado.</t>
  </si>
  <si>
    <t xml:space="preserve">Error de digitación en el sistema de facturación.</t>
  </si>
  <si>
    <t xml:space="preserve">PQRS-034</t>
  </si>
  <si>
    <t xml:space="preserve">Autoservicios La 15</t>
  </si>
  <si>
    <t xml:space="preserve">PQRS-035</t>
  </si>
  <si>
    <t xml:space="preserve">Comentario general sobre la experiencia de compra con la empresa.</t>
  </si>
  <si>
    <t xml:space="preserve">PQRS-036</t>
  </si>
  <si>
    <t xml:space="preserve">Tienda La 84</t>
  </si>
  <si>
    <t xml:space="preserve">PQRS-037</t>
  </si>
  <si>
    <t xml:space="preserve">PQRS-038</t>
  </si>
  <si>
    <t xml:space="preserve">Interno - Servicio al Cliente</t>
  </si>
  <si>
    <t xml:space="preserve">PQRS-039</t>
  </si>
  <si>
    <t xml:space="preserve">Llegaron unidades con el empaque deteriorado por humedad.</t>
  </si>
  <si>
    <t xml:space="preserve">PQRS-040</t>
  </si>
  <si>
    <t xml:space="preserve">Autoservicios Ahorro Costeño</t>
  </si>
  <si>
    <t xml:space="preserve">PQRS-041</t>
  </si>
  <si>
    <t xml:space="preserve">Hipermercado Mercar</t>
  </si>
  <si>
    <t xml:space="preserve">PQRS-042</t>
  </si>
  <si>
    <t xml:space="preserve">Se aplicó un descuento por volumen que no correspondía a la compra.</t>
  </si>
  <si>
    <t xml:space="preserve">Descuento aplicado manualmente sin validar la política vigente.</t>
  </si>
  <si>
    <t xml:space="preserve">PQRS-043</t>
  </si>
  <si>
    <t xml:space="preserve">Super ElGanadero</t>
  </si>
  <si>
    <t xml:space="preserve">Se recibió un trato inadecuado por parte del personal de atención.</t>
  </si>
  <si>
    <t xml:space="preserve">PQRS-044</t>
  </si>
  <si>
    <t xml:space="preserve">Autoservicios El Litoral</t>
  </si>
  <si>
    <t xml:space="preserve">PQRS-045</t>
  </si>
  <si>
    <t xml:space="preserve">Defecto de fábrica reportado al proveedor.</t>
  </si>
  <si>
    <t xml:space="preserve">PQRS-046</t>
  </si>
  <si>
    <t xml:space="preserve">Deposito La Economía</t>
  </si>
  <si>
    <t xml:space="preserve">PQRS-047</t>
  </si>
  <si>
    <t xml:space="preserve">Autoservicio La Esquina</t>
  </si>
  <si>
    <t xml:space="preserve">PQRS-048</t>
  </si>
  <si>
    <t xml:space="preserve">PQRS-049</t>
  </si>
  <si>
    <t xml:space="preserve">PQRS-050</t>
  </si>
  <si>
    <t xml:space="preserve">Supermercado La Canasta</t>
  </si>
  <si>
    <t xml:space="preserve">PQRS-051</t>
  </si>
  <si>
    <t xml:space="preserve">Restaurante Nuestra Señora del Carmen</t>
  </si>
  <si>
    <t xml:space="preserve">Se encontró un empaque abierto o mal sellado en la caja recibida.</t>
  </si>
  <si>
    <t xml:space="preserve">PQRS-052</t>
  </si>
  <si>
    <t xml:space="preserve">PQRS-053</t>
  </si>
  <si>
    <t xml:space="preserve">Cafetería Empresarial San Fernando</t>
  </si>
  <si>
    <t xml:space="preserve">Se realizó llamada de disculpas y seguimiento personalizado.</t>
  </si>
  <si>
    <t xml:space="preserve">PQRS-054</t>
  </si>
  <si>
    <t xml:space="preserve">PQRS-055</t>
  </si>
  <si>
    <t xml:space="preserve">Autoservicio El Faro</t>
  </si>
  <si>
    <t xml:space="preserve">PQRS-056</t>
  </si>
  <si>
    <t xml:space="preserve">Fundación Nuestra Señora del Carmen</t>
  </si>
  <si>
    <t xml:space="preserve">PQRS-057</t>
  </si>
  <si>
    <t xml:space="preserve">El cliente solicita una copia de la factura para su contabilidad.</t>
  </si>
  <si>
    <t xml:space="preserve">Se generó nota crédito y se corrigió la factura.</t>
  </si>
  <si>
    <t xml:space="preserve">PQRS-058</t>
  </si>
  <si>
    <t xml:space="preserve">Hipermercado La Canasta</t>
  </si>
  <si>
    <t xml:space="preserve">Se reenvió la factura electrónica al correo del cliente.</t>
  </si>
  <si>
    <t xml:space="preserve">PQRS-059</t>
  </si>
  <si>
    <t xml:space="preserve">PQRS-060</t>
  </si>
  <si>
    <t xml:space="preserve">PQRS-061</t>
  </si>
  <si>
    <t xml:space="preserve">Autoservicio El Trebol</t>
  </si>
  <si>
    <t xml:space="preserve">PQRS-062</t>
  </si>
  <si>
    <t xml:space="preserve">El conductor no llamó antes de la entrega, generando reprogramación.</t>
  </si>
  <si>
    <t xml:space="preserve">PQRS-063</t>
  </si>
  <si>
    <t xml:space="preserve">PQRS-064</t>
  </si>
  <si>
    <t xml:space="preserve">Supermercado Todo Fresco</t>
  </si>
  <si>
    <t xml:space="preserve">PQRS-065</t>
  </si>
  <si>
    <t xml:space="preserve">PQRS-066</t>
  </si>
  <si>
    <t xml:space="preserve">PQRS-067</t>
  </si>
  <si>
    <t xml:space="preserve">PQRS-068</t>
  </si>
  <si>
    <t xml:space="preserve">PQRS-069</t>
  </si>
  <si>
    <t xml:space="preserve">Super La 15</t>
  </si>
  <si>
    <t xml:space="preserve">PQRS-070</t>
  </si>
  <si>
    <t xml:space="preserve">Autoservicio Santa Rita</t>
  </si>
  <si>
    <t xml:space="preserve">PQRS-071</t>
  </si>
  <si>
    <t xml:space="preserve">Autoservicio Doña María</t>
  </si>
  <si>
    <t xml:space="preserve">PQRS-072</t>
  </si>
  <si>
    <t xml:space="preserve">La factura no coincidió con las cantidades físicas entregadas.</t>
  </si>
  <si>
    <t xml:space="preserve">PQRS-073</t>
  </si>
  <si>
    <t xml:space="preserve">PQRS-074</t>
  </si>
  <si>
    <t xml:space="preserve">Autoservicios La Economía</t>
  </si>
  <si>
    <t xml:space="preserve">PQRS-075</t>
  </si>
  <si>
    <t xml:space="preserve">PQRS-076</t>
  </si>
  <si>
    <t xml:space="preserve">Hipermercado La Riviera</t>
  </si>
  <si>
    <t xml:space="preserve">PQRS-077</t>
  </si>
  <si>
    <t xml:space="preserve">PQRS-078</t>
  </si>
  <si>
    <t xml:space="preserve">Panadería Del Caribe</t>
  </si>
  <si>
    <t xml:space="preserve">Capacitación insuficiente del personal de atención.</t>
  </si>
  <si>
    <t xml:space="preserve">PQRS-079</t>
  </si>
  <si>
    <t xml:space="preserve">Supermercado ElGanadero</t>
  </si>
  <si>
    <t xml:space="preserve">El cliente sugiere mejorar los canales de comunicación con la empresa.</t>
  </si>
  <si>
    <t xml:space="preserve">PQRS-080</t>
  </si>
  <si>
    <t xml:space="preserve">PQRS-081</t>
  </si>
  <si>
    <t xml:space="preserve">PQRS-082</t>
  </si>
  <si>
    <t xml:space="preserve">Se ajustó el descuento aplicado según política vigente.</t>
  </si>
  <si>
    <t xml:space="preserve">PQRS-083</t>
  </si>
  <si>
    <t xml:space="preserve">PQRS-084</t>
  </si>
  <si>
    <t xml:space="preserve">Minimercado La Esquina</t>
  </si>
  <si>
    <t xml:space="preserve">PQRS-085</t>
  </si>
  <si>
    <t xml:space="preserve">PQRS-086</t>
  </si>
  <si>
    <t xml:space="preserve">PQRS-087</t>
  </si>
  <si>
    <t xml:space="preserve">Tienda Nueva Vida</t>
  </si>
  <si>
    <t xml:space="preserve">PQRS-088</t>
  </si>
  <si>
    <t xml:space="preserve">Deposito El Faro</t>
  </si>
  <si>
    <t xml:space="preserve">PQRS-089</t>
  </si>
  <si>
    <t xml:space="preserve">Super Mercar</t>
  </si>
  <si>
    <t xml:space="preserve">PQRS-090</t>
  </si>
  <si>
    <t xml:space="preserve">Super El Cacique</t>
  </si>
  <si>
    <t xml:space="preserve">PQRS-091</t>
  </si>
  <si>
    <t xml:space="preserve">Autoservicios El Baratillo</t>
  </si>
  <si>
    <t xml:space="preserve">PQRS-092</t>
  </si>
  <si>
    <t xml:space="preserve">Hotel La Bahía</t>
  </si>
  <si>
    <t xml:space="preserve">PQRS-093</t>
  </si>
  <si>
    <t xml:space="preserve">Supermercado El Rey</t>
  </si>
  <si>
    <t xml:space="preserve">PQRS-094</t>
  </si>
  <si>
    <t xml:space="preserve">Hospital El Bosque</t>
  </si>
  <si>
    <t xml:space="preserve">PQRS-095</t>
  </si>
  <si>
    <t xml:space="preserve">PQRS-096</t>
  </si>
  <si>
    <t xml:space="preserve">PQRS-097</t>
  </si>
  <si>
    <t xml:space="preserve">PQRS-098</t>
  </si>
  <si>
    <t xml:space="preserve">Deposito Don Pedro</t>
  </si>
  <si>
    <t xml:space="preserve">PQRS-099</t>
  </si>
  <si>
    <t xml:space="preserve">PQRS-100</t>
  </si>
  <si>
    <t xml:space="preserve">Super Ahorro Costeño</t>
  </si>
  <si>
    <t xml:space="preserve">Supuestos: Fecha Registro, Fecha Resolución y Costo Impacto son valores de entrada (simulación para demo/analítica, no datos reales de Andina Foods S.A.S.). Días para Resolver = Fecha Resolución - Fecha Registro (vacío si el caso aún no se resuelve). Cliente/Interno usa nombres consistentes con Clientes_Andina_Foods.xlsx; los casos internos se marcan como 'Interno - [Departamento]'.</t>
  </si>
  <si>
    <t xml:space="preserve">Resumen — PQRS y Control de Calidad 2025 (Andina Foods S.A.S.)</t>
  </si>
  <si>
    <t xml:space="preserve">Total de casos registrados</t>
  </si>
  <si>
    <t xml:space="preserve">Peticiones</t>
  </si>
  <si>
    <t xml:space="preserve">Quejas</t>
  </si>
  <si>
    <t xml:space="preserve">Reclamos</t>
  </si>
  <si>
    <t xml:space="preserve">Sugerencias</t>
  </si>
  <si>
    <t xml:space="preserve">Abiertos</t>
  </si>
  <si>
    <t xml:space="preserve">Resueltos</t>
  </si>
  <si>
    <t xml:space="preserve">Cerrados</t>
  </si>
  <si>
    <t xml:space="preserve">% Resuelto + Cerrado</t>
  </si>
  <si>
    <t xml:space="preserve">% Abierto + En proceso</t>
  </si>
  <si>
    <t xml:space="preserve">Costo total de impacto (COP)</t>
  </si>
  <si>
    <t xml:space="preserve">Días promedio de resolución (casos resueltos)</t>
  </si>
  <si>
    <t xml:space="preserve">Casos sin seguimiento y aún abiertos/en proceso (alerta)</t>
  </si>
  <si>
    <t xml:space="preserve">Promedio de Días de Resolución por Categoría</t>
  </si>
  <si>
    <t xml:space="preserve"># Casos</t>
  </si>
  <si>
    <t xml:space="preserve"># Resueltos/Cerrados</t>
  </si>
  <si>
    <t xml:space="preserve">Días Promedio Resolución</t>
  </si>
  <si>
    <t xml:space="preserve">Tendencia Mensual de Casos (Enero-Agosto 2025)</t>
  </si>
  <si>
    <t xml:space="preserve">Mes</t>
  </si>
  <si>
    <t xml:space="preserve"># Casos Registrados</t>
  </si>
  <si>
    <t xml:space="preserve"># Reclamos</t>
  </si>
  <si>
    <t xml:space="preserve"># Quejas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</si>
  <si>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</si>
  <si>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</si>
  <si>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</si>
  <si>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</si>
  <si>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</si>
  <si>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</si>
  <si>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</si>
  <si>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</si>
  <si>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Nota: datos simulados con fines de demostración / analítica del programa Master IA Local. No corresponden a PQRS reales de Andina Foods S.A.S.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</si>
</sst>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"/>
    <numFmt numFmtId="167" formatCode="\$#,##0"/>
    <numFmt numFmtId="168" formatCode="0.0%"/>
    <numFmt numFmtId="169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BDD7EE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QRSAndina" displayName="PQRSAndina" ref="A1:O101" headerRowCount="1" totalsRowCount="0" totalsRowShown="0">
  <autoFilter ref="A1:O101"/>
  <tableColumns count="15">
    <tableColumn id="1" name="ID"/>
    <tableColumn id="2" name="Fecha Registro"/>
    <tableColumn id="3" name="Tipo"/>
    <tableColumn id="4" name="Categoría"/>
    <tableColumn id="5" name="Cliente/Interno"/>
    <tableColumn id="6" name="Descripción"/>
    <tableColumn id="7" name="Departamento Responsable"/>
    <tableColumn id="8" name="Prioridad"/>
    <tableColumn id="9" name="Estado"/>
    <tableColumn id="10" name="Causa Raíz"/>
    <tableColumn id="11" name="Acción Correctiva"/>
    <tableColumn id="12" name="Fecha Resolución"/>
    <tableColumn id="13" name="Días para Resolver"/>
    <tableColumn id="14" name="Costo Impacto (COP)"/>
    <tableColumn id="15" name="Seguimient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30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5"/>
    <col collapsed="false" customWidth="true" hidden="false" outlineLevel="0" max="15" min="15" style="0" width="11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6.85" hidden="false" customHeight="false" outlineLevel="0" collapsed="false">
      <c r="A2" s="2" t="s">
        <v>15</v>
      </c>
      <c r="B2" s="3" t="n">
        <v>45660</v>
      </c>
      <c r="C2" s="2" t="s">
        <v>16</v>
      </c>
      <c r="D2" s="2" t="s">
        <v>17</v>
      </c>
      <c r="E2" s="4" t="s">
        <v>18</v>
      </c>
      <c r="F2" s="5" t="s">
        <v>19</v>
      </c>
      <c r="G2" s="4" t="s">
        <v>20</v>
      </c>
      <c r="H2" s="2" t="s">
        <v>21</v>
      </c>
      <c r="I2" s="2" t="s">
        <v>22</v>
      </c>
      <c r="J2" s="5" t="s">
        <v>23</v>
      </c>
      <c r="K2" s="5" t="s">
        <v>24</v>
      </c>
      <c r="L2" s="3" t="n">
        <v>45689</v>
      </c>
      <c r="M2" s="6" t="n">
        <f aca="false">IF(L2="","",L2-B2)</f>
        <v>29</v>
      </c>
      <c r="N2" s="7" t="n">
        <v>1939000</v>
      </c>
      <c r="O2" s="2" t="s">
        <v>25</v>
      </c>
    </row>
    <row r="3" customFormat="false" ht="26.85" hidden="false" customHeight="false" outlineLevel="0" collapsed="false">
      <c r="A3" s="2" t="s">
        <v>26</v>
      </c>
      <c r="B3" s="3" t="n">
        <v>45665</v>
      </c>
      <c r="C3" s="2" t="s">
        <v>27</v>
      </c>
      <c r="D3" s="2" t="s">
        <v>28</v>
      </c>
      <c r="E3" s="4" t="s">
        <v>29</v>
      </c>
      <c r="F3" s="5" t="s">
        <v>30</v>
      </c>
      <c r="G3" s="4" t="s">
        <v>31</v>
      </c>
      <c r="H3" s="2" t="s">
        <v>32</v>
      </c>
      <c r="I3" s="2" t="s">
        <v>33</v>
      </c>
      <c r="J3" s="5"/>
      <c r="K3" s="5"/>
      <c r="L3" s="3"/>
      <c r="M3" s="6" t="str">
        <f aca="false">IF(L3="","",L3-B3)</f>
        <v/>
      </c>
      <c r="N3" s="7" t="n">
        <v>0</v>
      </c>
      <c r="O3" s="2" t="s">
        <v>25</v>
      </c>
    </row>
    <row r="4" customFormat="false" ht="26.85" hidden="false" customHeight="false" outlineLevel="0" collapsed="false">
      <c r="A4" s="2" t="s">
        <v>34</v>
      </c>
      <c r="B4" s="3" t="n">
        <v>45668</v>
      </c>
      <c r="C4" s="2" t="s">
        <v>35</v>
      </c>
      <c r="D4" s="2" t="s">
        <v>17</v>
      </c>
      <c r="E4" s="4" t="s">
        <v>36</v>
      </c>
      <c r="F4" s="5" t="s">
        <v>37</v>
      </c>
      <c r="G4" s="4" t="s">
        <v>20</v>
      </c>
      <c r="H4" s="2" t="s">
        <v>38</v>
      </c>
      <c r="I4" s="2" t="s">
        <v>39</v>
      </c>
      <c r="J4" s="5"/>
      <c r="K4" s="5"/>
      <c r="L4" s="3"/>
      <c r="M4" s="6" t="str">
        <f aca="false">IF(L4="","",L4-B4)</f>
        <v/>
      </c>
      <c r="N4" s="7" t="n">
        <v>0</v>
      </c>
      <c r="O4" s="2" t="s">
        <v>25</v>
      </c>
    </row>
    <row r="5" customFormat="false" ht="39.55" hidden="false" customHeight="false" outlineLevel="0" collapsed="false">
      <c r="A5" s="2" t="s">
        <v>40</v>
      </c>
      <c r="B5" s="3" t="n">
        <v>45670</v>
      </c>
      <c r="C5" s="2" t="s">
        <v>41</v>
      </c>
      <c r="D5" s="2" t="s">
        <v>17</v>
      </c>
      <c r="E5" s="4" t="s">
        <v>42</v>
      </c>
      <c r="F5" s="5" t="s">
        <v>19</v>
      </c>
      <c r="G5" s="4" t="s">
        <v>20</v>
      </c>
      <c r="H5" s="2" t="s">
        <v>21</v>
      </c>
      <c r="I5" s="2" t="s">
        <v>22</v>
      </c>
      <c r="J5" s="5" t="s">
        <v>43</v>
      </c>
      <c r="K5" s="5" t="s">
        <v>44</v>
      </c>
      <c r="L5" s="3" t="n">
        <v>45698</v>
      </c>
      <c r="M5" s="6" t="n">
        <f aca="false">IF(L5="","",L5-B5)</f>
        <v>28</v>
      </c>
      <c r="N5" s="7" t="n">
        <v>1122000</v>
      </c>
      <c r="O5" s="2" t="s">
        <v>25</v>
      </c>
    </row>
    <row r="6" customFormat="false" ht="26.85" hidden="false" customHeight="false" outlineLevel="0" collapsed="false">
      <c r="A6" s="2" t="s">
        <v>45</v>
      </c>
      <c r="B6" s="3" t="n">
        <v>45676</v>
      </c>
      <c r="C6" s="2" t="s">
        <v>16</v>
      </c>
      <c r="D6" s="2" t="s">
        <v>28</v>
      </c>
      <c r="E6" s="4" t="s">
        <v>46</v>
      </c>
      <c r="F6" s="5" t="s">
        <v>47</v>
      </c>
      <c r="G6" s="4" t="s">
        <v>31</v>
      </c>
      <c r="H6" s="2" t="s">
        <v>48</v>
      </c>
      <c r="I6" s="2" t="s">
        <v>39</v>
      </c>
      <c r="J6" s="5" t="s">
        <v>49</v>
      </c>
      <c r="K6" s="5"/>
      <c r="L6" s="3"/>
      <c r="M6" s="6" t="str">
        <f aca="false">IF(L6="","",L6-B6)</f>
        <v/>
      </c>
      <c r="N6" s="7" t="n">
        <v>0</v>
      </c>
      <c r="O6" s="2" t="s">
        <v>25</v>
      </c>
    </row>
    <row r="7" customFormat="false" ht="39.55" hidden="false" customHeight="false" outlineLevel="0" collapsed="false">
      <c r="A7" s="2" t="s">
        <v>50</v>
      </c>
      <c r="B7" s="3" t="n">
        <v>45677</v>
      </c>
      <c r="C7" s="2" t="s">
        <v>16</v>
      </c>
      <c r="D7" s="2" t="s">
        <v>51</v>
      </c>
      <c r="E7" s="4" t="s">
        <v>52</v>
      </c>
      <c r="F7" s="5" t="s">
        <v>53</v>
      </c>
      <c r="G7" s="4" t="s">
        <v>54</v>
      </c>
      <c r="H7" s="2" t="s">
        <v>21</v>
      </c>
      <c r="I7" s="2" t="s">
        <v>22</v>
      </c>
      <c r="J7" s="5" t="s">
        <v>55</v>
      </c>
      <c r="K7" s="5" t="s">
        <v>56</v>
      </c>
      <c r="L7" s="3" t="n">
        <v>45683</v>
      </c>
      <c r="M7" s="6" t="n">
        <f aca="false">IF(L7="","",L7-B7)</f>
        <v>6</v>
      </c>
      <c r="N7" s="7" t="n">
        <v>0</v>
      </c>
      <c r="O7" s="2" t="s">
        <v>25</v>
      </c>
    </row>
    <row r="8" customFormat="false" ht="26.85" hidden="false" customHeight="false" outlineLevel="0" collapsed="false">
      <c r="A8" s="2" t="s">
        <v>57</v>
      </c>
      <c r="B8" s="3" t="n">
        <v>45677</v>
      </c>
      <c r="C8" s="2" t="s">
        <v>35</v>
      </c>
      <c r="D8" s="2" t="s">
        <v>58</v>
      </c>
      <c r="E8" s="4" t="s">
        <v>59</v>
      </c>
      <c r="F8" s="5" t="s">
        <v>60</v>
      </c>
      <c r="G8" s="4" t="s">
        <v>61</v>
      </c>
      <c r="H8" s="2" t="s">
        <v>38</v>
      </c>
      <c r="I8" s="2" t="s">
        <v>22</v>
      </c>
      <c r="J8" s="5"/>
      <c r="K8" s="5"/>
      <c r="L8" s="3" t="n">
        <v>45703</v>
      </c>
      <c r="M8" s="6" t="n">
        <f aca="false">IF(L8="","",L8-B8)</f>
        <v>26</v>
      </c>
      <c r="N8" s="7" t="n">
        <v>0</v>
      </c>
      <c r="O8" s="2" t="s">
        <v>25</v>
      </c>
    </row>
    <row r="9" customFormat="false" ht="26.85" hidden="false" customHeight="false" outlineLevel="0" collapsed="false">
      <c r="A9" s="2" t="s">
        <v>62</v>
      </c>
      <c r="B9" s="3" t="n">
        <v>45679</v>
      </c>
      <c r="C9" s="2" t="s">
        <v>27</v>
      </c>
      <c r="D9" s="2" t="s">
        <v>17</v>
      </c>
      <c r="E9" s="4" t="s">
        <v>63</v>
      </c>
      <c r="F9" s="5" t="s">
        <v>64</v>
      </c>
      <c r="G9" s="4" t="s">
        <v>20</v>
      </c>
      <c r="H9" s="2" t="s">
        <v>38</v>
      </c>
      <c r="I9" s="2" t="s">
        <v>22</v>
      </c>
      <c r="J9" s="5"/>
      <c r="K9" s="5"/>
      <c r="L9" s="3" t="n">
        <v>45691</v>
      </c>
      <c r="M9" s="6" t="n">
        <f aca="false">IF(L9="","",L9-B9)</f>
        <v>12</v>
      </c>
      <c r="N9" s="7" t="n">
        <v>0</v>
      </c>
      <c r="O9" s="2" t="s">
        <v>25</v>
      </c>
    </row>
    <row r="10" customFormat="false" ht="26.85" hidden="false" customHeight="false" outlineLevel="0" collapsed="false">
      <c r="A10" s="2" t="s">
        <v>65</v>
      </c>
      <c r="B10" s="3" t="n">
        <v>45685</v>
      </c>
      <c r="C10" s="2" t="s">
        <v>35</v>
      </c>
      <c r="D10" s="2" t="s">
        <v>51</v>
      </c>
      <c r="E10" s="4" t="s">
        <v>66</v>
      </c>
      <c r="F10" s="5" t="s">
        <v>67</v>
      </c>
      <c r="G10" s="4" t="s">
        <v>54</v>
      </c>
      <c r="H10" s="2" t="s">
        <v>21</v>
      </c>
      <c r="I10" s="2" t="s">
        <v>22</v>
      </c>
      <c r="J10" s="5"/>
      <c r="K10" s="5"/>
      <c r="L10" s="3" t="n">
        <v>45693</v>
      </c>
      <c r="M10" s="6" t="n">
        <f aca="false">IF(L10="","",L10-B10)</f>
        <v>8</v>
      </c>
      <c r="N10" s="7" t="n">
        <v>0</v>
      </c>
      <c r="O10" s="2" t="s">
        <v>25</v>
      </c>
    </row>
    <row r="11" customFormat="false" ht="26.85" hidden="false" customHeight="false" outlineLevel="0" collapsed="false">
      <c r="A11" s="2" t="s">
        <v>68</v>
      </c>
      <c r="B11" s="3" t="n">
        <v>45686</v>
      </c>
      <c r="C11" s="2" t="s">
        <v>27</v>
      </c>
      <c r="D11" s="2" t="s">
        <v>17</v>
      </c>
      <c r="E11" s="4" t="s">
        <v>69</v>
      </c>
      <c r="F11" s="5" t="s">
        <v>64</v>
      </c>
      <c r="G11" s="4" t="s">
        <v>20</v>
      </c>
      <c r="H11" s="2" t="s">
        <v>38</v>
      </c>
      <c r="I11" s="2" t="s">
        <v>22</v>
      </c>
      <c r="J11" s="5"/>
      <c r="K11" s="5"/>
      <c r="L11" s="3" t="n">
        <v>45711</v>
      </c>
      <c r="M11" s="6" t="n">
        <f aca="false">IF(L11="","",L11-B11)</f>
        <v>25</v>
      </c>
      <c r="N11" s="7" t="n">
        <v>0</v>
      </c>
      <c r="O11" s="2" t="s">
        <v>25</v>
      </c>
    </row>
    <row r="12" customFormat="false" ht="39.55" hidden="false" customHeight="false" outlineLevel="0" collapsed="false">
      <c r="A12" s="2" t="s">
        <v>70</v>
      </c>
      <c r="B12" s="3" t="n">
        <v>45686</v>
      </c>
      <c r="C12" s="2" t="s">
        <v>16</v>
      </c>
      <c r="D12" s="2" t="s">
        <v>17</v>
      </c>
      <c r="E12" s="4" t="s">
        <v>71</v>
      </c>
      <c r="F12" s="5" t="s">
        <v>72</v>
      </c>
      <c r="G12" s="4" t="s">
        <v>20</v>
      </c>
      <c r="H12" s="2" t="s">
        <v>21</v>
      </c>
      <c r="I12" s="2" t="s">
        <v>22</v>
      </c>
      <c r="J12" s="5" t="s">
        <v>73</v>
      </c>
      <c r="K12" s="5" t="s">
        <v>74</v>
      </c>
      <c r="L12" s="3" t="n">
        <v>45706</v>
      </c>
      <c r="M12" s="6" t="n">
        <f aca="false">IF(L12="","",L12-B12)</f>
        <v>20</v>
      </c>
      <c r="N12" s="7" t="n">
        <v>781000</v>
      </c>
      <c r="O12" s="2" t="s">
        <v>25</v>
      </c>
    </row>
    <row r="13" customFormat="false" ht="26.85" hidden="false" customHeight="false" outlineLevel="0" collapsed="false">
      <c r="A13" s="2" t="s">
        <v>75</v>
      </c>
      <c r="B13" s="3" t="n">
        <v>45689</v>
      </c>
      <c r="C13" s="2" t="s">
        <v>41</v>
      </c>
      <c r="D13" s="2" t="s">
        <v>17</v>
      </c>
      <c r="E13" s="4" t="s">
        <v>76</v>
      </c>
      <c r="F13" s="5" t="s">
        <v>72</v>
      </c>
      <c r="G13" s="4" t="s">
        <v>20</v>
      </c>
      <c r="H13" s="2" t="s">
        <v>48</v>
      </c>
      <c r="I13" s="2" t="s">
        <v>39</v>
      </c>
      <c r="J13" s="5" t="s">
        <v>73</v>
      </c>
      <c r="K13" s="5"/>
      <c r="L13" s="3"/>
      <c r="M13" s="6" t="str">
        <f aca="false">IF(L13="","",L13-B13)</f>
        <v/>
      </c>
      <c r="N13" s="7" t="n">
        <v>2423000</v>
      </c>
      <c r="O13" s="2" t="s">
        <v>25</v>
      </c>
    </row>
    <row r="14" customFormat="false" ht="26.85" hidden="false" customHeight="false" outlineLevel="0" collapsed="false">
      <c r="A14" s="2" t="s">
        <v>77</v>
      </c>
      <c r="B14" s="3" t="n">
        <v>45689</v>
      </c>
      <c r="C14" s="2" t="s">
        <v>27</v>
      </c>
      <c r="D14" s="2" t="s">
        <v>17</v>
      </c>
      <c r="E14" s="4" t="s">
        <v>78</v>
      </c>
      <c r="F14" s="5" t="s">
        <v>19</v>
      </c>
      <c r="G14" s="4" t="s">
        <v>20</v>
      </c>
      <c r="H14" s="2" t="s">
        <v>38</v>
      </c>
      <c r="I14" s="2" t="s">
        <v>79</v>
      </c>
      <c r="J14" s="5"/>
      <c r="K14" s="5"/>
      <c r="L14" s="3" t="n">
        <v>45713</v>
      </c>
      <c r="M14" s="6" t="n">
        <f aca="false">IF(L14="","",L14-B14)</f>
        <v>24</v>
      </c>
      <c r="N14" s="7" t="n">
        <v>0</v>
      </c>
      <c r="O14" s="2" t="s">
        <v>25</v>
      </c>
    </row>
    <row r="15" customFormat="false" ht="26.85" hidden="false" customHeight="false" outlineLevel="0" collapsed="false">
      <c r="A15" s="2" t="s">
        <v>80</v>
      </c>
      <c r="B15" s="3" t="n">
        <v>45692</v>
      </c>
      <c r="C15" s="2" t="s">
        <v>35</v>
      </c>
      <c r="D15" s="2" t="s">
        <v>81</v>
      </c>
      <c r="E15" s="4" t="s">
        <v>69</v>
      </c>
      <c r="F15" s="5" t="s">
        <v>82</v>
      </c>
      <c r="G15" s="4" t="s">
        <v>83</v>
      </c>
      <c r="H15" s="2" t="s">
        <v>38</v>
      </c>
      <c r="I15" s="2" t="s">
        <v>79</v>
      </c>
      <c r="J15" s="5"/>
      <c r="K15" s="5"/>
      <c r="L15" s="3" t="n">
        <v>45703</v>
      </c>
      <c r="M15" s="6" t="n">
        <f aca="false">IF(L15="","",L15-B15)</f>
        <v>11</v>
      </c>
      <c r="N15" s="7" t="n">
        <v>0</v>
      </c>
      <c r="O15" s="2" t="s">
        <v>25</v>
      </c>
    </row>
    <row r="16" customFormat="false" ht="26.85" hidden="false" customHeight="false" outlineLevel="0" collapsed="false">
      <c r="A16" s="2" t="s">
        <v>84</v>
      </c>
      <c r="B16" s="3" t="n">
        <v>45693</v>
      </c>
      <c r="C16" s="2" t="s">
        <v>27</v>
      </c>
      <c r="D16" s="2" t="s">
        <v>28</v>
      </c>
      <c r="E16" s="4" t="s">
        <v>85</v>
      </c>
      <c r="F16" s="5" t="s">
        <v>86</v>
      </c>
      <c r="G16" s="4" t="s">
        <v>31</v>
      </c>
      <c r="H16" s="2" t="s">
        <v>38</v>
      </c>
      <c r="I16" s="2" t="s">
        <v>22</v>
      </c>
      <c r="J16" s="5"/>
      <c r="K16" s="5"/>
      <c r="L16" s="3" t="n">
        <v>45696</v>
      </c>
      <c r="M16" s="6" t="n">
        <f aca="false">IF(L16="","",L16-B16)</f>
        <v>3</v>
      </c>
      <c r="N16" s="7" t="n">
        <v>0</v>
      </c>
      <c r="O16" s="2" t="s">
        <v>25</v>
      </c>
    </row>
    <row r="17" customFormat="false" ht="26.85" hidden="false" customHeight="false" outlineLevel="0" collapsed="false">
      <c r="A17" s="2" t="s">
        <v>87</v>
      </c>
      <c r="B17" s="3" t="n">
        <v>45694</v>
      </c>
      <c r="C17" s="2" t="s">
        <v>41</v>
      </c>
      <c r="D17" s="2" t="s">
        <v>81</v>
      </c>
      <c r="E17" s="4" t="s">
        <v>88</v>
      </c>
      <c r="F17" s="5" t="s">
        <v>89</v>
      </c>
      <c r="G17" s="4" t="s">
        <v>83</v>
      </c>
      <c r="H17" s="2" t="s">
        <v>48</v>
      </c>
      <c r="I17" s="2" t="s">
        <v>22</v>
      </c>
      <c r="J17" s="5" t="s">
        <v>90</v>
      </c>
      <c r="K17" s="5" t="s">
        <v>91</v>
      </c>
      <c r="L17" s="3" t="n">
        <v>45708</v>
      </c>
      <c r="M17" s="6" t="n">
        <f aca="false">IF(L17="","",L17-B17)</f>
        <v>14</v>
      </c>
      <c r="N17" s="7" t="n">
        <v>0</v>
      </c>
      <c r="O17" s="2" t="s">
        <v>92</v>
      </c>
    </row>
    <row r="18" customFormat="false" ht="26.85" hidden="false" customHeight="false" outlineLevel="0" collapsed="false">
      <c r="A18" s="2" t="s">
        <v>93</v>
      </c>
      <c r="B18" s="3" t="n">
        <v>45697</v>
      </c>
      <c r="C18" s="2" t="s">
        <v>41</v>
      </c>
      <c r="D18" s="2" t="s">
        <v>17</v>
      </c>
      <c r="E18" s="4" t="s">
        <v>94</v>
      </c>
      <c r="F18" s="5" t="s">
        <v>64</v>
      </c>
      <c r="G18" s="4" t="s">
        <v>20</v>
      </c>
      <c r="H18" s="2" t="s">
        <v>48</v>
      </c>
      <c r="I18" s="2" t="s">
        <v>39</v>
      </c>
      <c r="J18" s="5" t="s">
        <v>73</v>
      </c>
      <c r="K18" s="5"/>
      <c r="L18" s="3"/>
      <c r="M18" s="6" t="str">
        <f aca="false">IF(L18="","",L18-B18)</f>
        <v/>
      </c>
      <c r="N18" s="7" t="n">
        <v>366000</v>
      </c>
      <c r="O18" s="2" t="s">
        <v>25</v>
      </c>
    </row>
    <row r="19" customFormat="false" ht="26.85" hidden="false" customHeight="false" outlineLevel="0" collapsed="false">
      <c r="A19" s="2" t="s">
        <v>95</v>
      </c>
      <c r="B19" s="3" t="n">
        <v>45704</v>
      </c>
      <c r="C19" s="2" t="s">
        <v>41</v>
      </c>
      <c r="D19" s="2" t="s">
        <v>17</v>
      </c>
      <c r="E19" s="4" t="s">
        <v>96</v>
      </c>
      <c r="F19" s="5" t="s">
        <v>19</v>
      </c>
      <c r="G19" s="4" t="s">
        <v>20</v>
      </c>
      <c r="H19" s="2" t="s">
        <v>21</v>
      </c>
      <c r="I19" s="2" t="s">
        <v>39</v>
      </c>
      <c r="J19" s="5" t="s">
        <v>97</v>
      </c>
      <c r="K19" s="5"/>
      <c r="L19" s="3"/>
      <c r="M19" s="6" t="str">
        <f aca="false">IF(L19="","",L19-B19)</f>
        <v/>
      </c>
      <c r="N19" s="7" t="n">
        <v>2451000</v>
      </c>
      <c r="O19" s="2" t="s">
        <v>25</v>
      </c>
    </row>
    <row r="20" customFormat="false" ht="39.55" hidden="false" customHeight="false" outlineLevel="0" collapsed="false">
      <c r="A20" s="2" t="s">
        <v>98</v>
      </c>
      <c r="B20" s="3" t="n">
        <v>45704</v>
      </c>
      <c r="C20" s="2" t="s">
        <v>16</v>
      </c>
      <c r="D20" s="2" t="s">
        <v>17</v>
      </c>
      <c r="E20" s="4" t="s">
        <v>99</v>
      </c>
      <c r="F20" s="5" t="s">
        <v>100</v>
      </c>
      <c r="G20" s="4" t="s">
        <v>20</v>
      </c>
      <c r="H20" s="2" t="s">
        <v>21</v>
      </c>
      <c r="I20" s="2" t="s">
        <v>22</v>
      </c>
      <c r="J20" s="5" t="s">
        <v>23</v>
      </c>
      <c r="K20" s="5" t="s">
        <v>101</v>
      </c>
      <c r="L20" s="3" t="n">
        <v>45721</v>
      </c>
      <c r="M20" s="6" t="n">
        <f aca="false">IF(L20="","",L20-B20)</f>
        <v>17</v>
      </c>
      <c r="N20" s="7" t="n">
        <v>0</v>
      </c>
      <c r="O20" s="2" t="s">
        <v>92</v>
      </c>
    </row>
    <row r="21" customFormat="false" ht="39.55" hidden="false" customHeight="false" outlineLevel="0" collapsed="false">
      <c r="A21" s="2" t="s">
        <v>102</v>
      </c>
      <c r="B21" s="3" t="n">
        <v>45711</v>
      </c>
      <c r="C21" s="2" t="s">
        <v>41</v>
      </c>
      <c r="D21" s="2" t="s">
        <v>51</v>
      </c>
      <c r="E21" s="4" t="s">
        <v>103</v>
      </c>
      <c r="F21" s="5" t="s">
        <v>104</v>
      </c>
      <c r="G21" s="4" t="s">
        <v>54</v>
      </c>
      <c r="H21" s="2" t="s">
        <v>32</v>
      </c>
      <c r="I21" s="2" t="s">
        <v>22</v>
      </c>
      <c r="J21" s="5" t="s">
        <v>55</v>
      </c>
      <c r="K21" s="5" t="s">
        <v>105</v>
      </c>
      <c r="L21" s="3" t="n">
        <v>45736</v>
      </c>
      <c r="M21" s="6" t="n">
        <f aca="false">IF(L21="","",L21-B21)</f>
        <v>25</v>
      </c>
      <c r="N21" s="7" t="n">
        <v>1706000</v>
      </c>
      <c r="O21" s="2" t="s">
        <v>92</v>
      </c>
    </row>
    <row r="22" customFormat="false" ht="39.55" hidden="false" customHeight="false" outlineLevel="0" collapsed="false">
      <c r="A22" s="2" t="s">
        <v>106</v>
      </c>
      <c r="B22" s="3" t="n">
        <v>45712</v>
      </c>
      <c r="C22" s="2" t="s">
        <v>16</v>
      </c>
      <c r="D22" s="2" t="s">
        <v>51</v>
      </c>
      <c r="E22" s="4" t="s">
        <v>107</v>
      </c>
      <c r="F22" s="5" t="s">
        <v>67</v>
      </c>
      <c r="G22" s="4" t="s">
        <v>54</v>
      </c>
      <c r="H22" s="2" t="s">
        <v>21</v>
      </c>
      <c r="I22" s="2" t="s">
        <v>22</v>
      </c>
      <c r="J22" s="5" t="s">
        <v>55</v>
      </c>
      <c r="K22" s="5" t="s">
        <v>108</v>
      </c>
      <c r="L22" s="3" t="n">
        <v>45716</v>
      </c>
      <c r="M22" s="6" t="n">
        <f aca="false">IF(L22="","",L22-B22)</f>
        <v>4</v>
      </c>
      <c r="N22" s="7" t="n">
        <v>0</v>
      </c>
      <c r="O22" s="2" t="s">
        <v>92</v>
      </c>
    </row>
    <row r="23" customFormat="false" ht="26.85" hidden="false" customHeight="false" outlineLevel="0" collapsed="false">
      <c r="A23" s="2" t="s">
        <v>109</v>
      </c>
      <c r="B23" s="3" t="n">
        <v>45712</v>
      </c>
      <c r="C23" s="2" t="s">
        <v>35</v>
      </c>
      <c r="D23" s="2" t="s">
        <v>51</v>
      </c>
      <c r="E23" s="4" t="s">
        <v>96</v>
      </c>
      <c r="F23" s="5" t="s">
        <v>110</v>
      </c>
      <c r="G23" s="4" t="s">
        <v>54</v>
      </c>
      <c r="H23" s="2" t="s">
        <v>21</v>
      </c>
      <c r="I23" s="2" t="s">
        <v>22</v>
      </c>
      <c r="J23" s="5"/>
      <c r="K23" s="5"/>
      <c r="L23" s="3" t="n">
        <v>45735</v>
      </c>
      <c r="M23" s="6" t="n">
        <f aca="false">IF(L23="","",L23-B23)</f>
        <v>23</v>
      </c>
      <c r="N23" s="7" t="n">
        <v>0</v>
      </c>
      <c r="O23" s="2" t="s">
        <v>25</v>
      </c>
    </row>
    <row r="24" customFormat="false" ht="26.85" hidden="false" customHeight="false" outlineLevel="0" collapsed="false">
      <c r="A24" s="2" t="s">
        <v>111</v>
      </c>
      <c r="B24" s="3" t="n">
        <v>45716</v>
      </c>
      <c r="C24" s="2" t="s">
        <v>16</v>
      </c>
      <c r="D24" s="2" t="s">
        <v>58</v>
      </c>
      <c r="E24" s="4" t="s">
        <v>112</v>
      </c>
      <c r="F24" s="5" t="s">
        <v>113</v>
      </c>
      <c r="G24" s="4" t="s">
        <v>61</v>
      </c>
      <c r="H24" s="2" t="s">
        <v>48</v>
      </c>
      <c r="I24" s="2" t="s">
        <v>22</v>
      </c>
      <c r="J24" s="5" t="s">
        <v>114</v>
      </c>
      <c r="K24" s="5" t="s">
        <v>115</v>
      </c>
      <c r="L24" s="3" t="n">
        <v>45736</v>
      </c>
      <c r="M24" s="6" t="n">
        <f aca="false">IF(L24="","",L24-B24)</f>
        <v>20</v>
      </c>
      <c r="N24" s="7" t="n">
        <v>0</v>
      </c>
      <c r="O24" s="2" t="s">
        <v>25</v>
      </c>
    </row>
    <row r="25" customFormat="false" ht="26.85" hidden="false" customHeight="false" outlineLevel="0" collapsed="false">
      <c r="A25" s="2" t="s">
        <v>116</v>
      </c>
      <c r="B25" s="3" t="n">
        <v>45721</v>
      </c>
      <c r="C25" s="2" t="s">
        <v>41</v>
      </c>
      <c r="D25" s="2" t="s">
        <v>17</v>
      </c>
      <c r="E25" s="4" t="s">
        <v>117</v>
      </c>
      <c r="F25" s="5" t="s">
        <v>64</v>
      </c>
      <c r="G25" s="4" t="s">
        <v>20</v>
      </c>
      <c r="H25" s="2" t="s">
        <v>21</v>
      </c>
      <c r="I25" s="2" t="s">
        <v>33</v>
      </c>
      <c r="J25" s="5" t="s">
        <v>97</v>
      </c>
      <c r="K25" s="5"/>
      <c r="L25" s="3"/>
      <c r="M25" s="6" t="str">
        <f aca="false">IF(L25="","",L25-B25)</f>
        <v/>
      </c>
      <c r="N25" s="7" t="n">
        <v>0</v>
      </c>
      <c r="O25" s="2" t="s">
        <v>92</v>
      </c>
    </row>
    <row r="26" customFormat="false" ht="39.55" hidden="false" customHeight="false" outlineLevel="0" collapsed="false">
      <c r="A26" s="2" t="s">
        <v>118</v>
      </c>
      <c r="B26" s="3" t="n">
        <v>45722</v>
      </c>
      <c r="C26" s="2" t="s">
        <v>16</v>
      </c>
      <c r="D26" s="2" t="s">
        <v>17</v>
      </c>
      <c r="E26" s="4" t="s">
        <v>119</v>
      </c>
      <c r="F26" s="5" t="s">
        <v>37</v>
      </c>
      <c r="G26" s="4" t="s">
        <v>20</v>
      </c>
      <c r="H26" s="2" t="s">
        <v>38</v>
      </c>
      <c r="I26" s="2" t="s">
        <v>79</v>
      </c>
      <c r="J26" s="5" t="s">
        <v>43</v>
      </c>
      <c r="K26" s="5" t="s">
        <v>74</v>
      </c>
      <c r="L26" s="3" t="n">
        <v>45751</v>
      </c>
      <c r="M26" s="6" t="n">
        <f aca="false">IF(L26="","",L26-B26)</f>
        <v>29</v>
      </c>
      <c r="N26" s="7" t="n">
        <v>0</v>
      </c>
      <c r="O26" s="2" t="s">
        <v>25</v>
      </c>
    </row>
    <row r="27" customFormat="false" ht="39.55" hidden="false" customHeight="false" outlineLevel="0" collapsed="false">
      <c r="A27" s="2" t="s">
        <v>120</v>
      </c>
      <c r="B27" s="3" t="n">
        <v>45723</v>
      </c>
      <c r="C27" s="2" t="s">
        <v>16</v>
      </c>
      <c r="D27" s="2" t="s">
        <v>17</v>
      </c>
      <c r="E27" s="4" t="s">
        <v>121</v>
      </c>
      <c r="F27" s="5" t="s">
        <v>122</v>
      </c>
      <c r="G27" s="4" t="s">
        <v>20</v>
      </c>
      <c r="H27" s="2" t="s">
        <v>48</v>
      </c>
      <c r="I27" s="2" t="s">
        <v>22</v>
      </c>
      <c r="J27" s="5" t="s">
        <v>43</v>
      </c>
      <c r="K27" s="5" t="s">
        <v>74</v>
      </c>
      <c r="L27" s="3" t="n">
        <v>45746</v>
      </c>
      <c r="M27" s="6" t="n">
        <f aca="false">IF(L27="","",L27-B27)</f>
        <v>23</v>
      </c>
      <c r="N27" s="7" t="n">
        <v>0</v>
      </c>
      <c r="O27" s="2" t="s">
        <v>25</v>
      </c>
    </row>
    <row r="28" customFormat="false" ht="26.85" hidden="false" customHeight="false" outlineLevel="0" collapsed="false">
      <c r="A28" s="2" t="s">
        <v>123</v>
      </c>
      <c r="B28" s="3" t="n">
        <v>45728</v>
      </c>
      <c r="C28" s="2" t="s">
        <v>41</v>
      </c>
      <c r="D28" s="2" t="s">
        <v>17</v>
      </c>
      <c r="E28" s="4" t="s">
        <v>124</v>
      </c>
      <c r="F28" s="5" t="s">
        <v>19</v>
      </c>
      <c r="G28" s="4" t="s">
        <v>20</v>
      </c>
      <c r="H28" s="2" t="s">
        <v>48</v>
      </c>
      <c r="I28" s="2" t="s">
        <v>39</v>
      </c>
      <c r="J28" s="5" t="s">
        <v>73</v>
      </c>
      <c r="K28" s="5"/>
      <c r="L28" s="3"/>
      <c r="M28" s="6" t="str">
        <f aca="false">IF(L28="","",L28-B28)</f>
        <v/>
      </c>
      <c r="N28" s="7" t="n">
        <v>0</v>
      </c>
      <c r="O28" s="2" t="s">
        <v>25</v>
      </c>
    </row>
    <row r="29" customFormat="false" ht="39.55" hidden="false" customHeight="false" outlineLevel="0" collapsed="false">
      <c r="A29" s="2" t="s">
        <v>125</v>
      </c>
      <c r="B29" s="3" t="n">
        <v>45738</v>
      </c>
      <c r="C29" s="2" t="s">
        <v>16</v>
      </c>
      <c r="D29" s="2" t="s">
        <v>58</v>
      </c>
      <c r="E29" s="4" t="s">
        <v>126</v>
      </c>
      <c r="F29" s="5" t="s">
        <v>127</v>
      </c>
      <c r="G29" s="4" t="s">
        <v>61</v>
      </c>
      <c r="H29" s="2" t="s">
        <v>48</v>
      </c>
      <c r="I29" s="2" t="s">
        <v>22</v>
      </c>
      <c r="J29" s="5" t="s">
        <v>128</v>
      </c>
      <c r="K29" s="5" t="s">
        <v>129</v>
      </c>
      <c r="L29" s="3" t="n">
        <v>45740</v>
      </c>
      <c r="M29" s="6" t="n">
        <f aca="false">IF(L29="","",L29-B29)</f>
        <v>2</v>
      </c>
      <c r="N29" s="7" t="n">
        <v>0</v>
      </c>
      <c r="O29" s="2" t="s">
        <v>25</v>
      </c>
    </row>
    <row r="30" customFormat="false" ht="26.85" hidden="false" customHeight="false" outlineLevel="0" collapsed="false">
      <c r="A30" s="2" t="s">
        <v>130</v>
      </c>
      <c r="B30" s="3" t="n">
        <v>45740</v>
      </c>
      <c r="C30" s="2" t="s">
        <v>16</v>
      </c>
      <c r="D30" s="2" t="s">
        <v>17</v>
      </c>
      <c r="E30" s="4" t="s">
        <v>131</v>
      </c>
      <c r="F30" s="5" t="s">
        <v>64</v>
      </c>
      <c r="G30" s="4" t="s">
        <v>20</v>
      </c>
      <c r="H30" s="2" t="s">
        <v>48</v>
      </c>
      <c r="I30" s="2" t="s">
        <v>39</v>
      </c>
      <c r="J30" s="5" t="s">
        <v>132</v>
      </c>
      <c r="K30" s="5"/>
      <c r="L30" s="3"/>
      <c r="M30" s="6" t="str">
        <f aca="false">IF(L30="","",L30-B30)</f>
        <v/>
      </c>
      <c r="N30" s="7" t="n">
        <v>2327000</v>
      </c>
      <c r="O30" s="2" t="s">
        <v>25</v>
      </c>
    </row>
    <row r="31" customFormat="false" ht="39.55" hidden="false" customHeight="false" outlineLevel="0" collapsed="false">
      <c r="A31" s="2" t="s">
        <v>133</v>
      </c>
      <c r="B31" s="3" t="n">
        <v>45743</v>
      </c>
      <c r="C31" s="2" t="s">
        <v>41</v>
      </c>
      <c r="D31" s="2" t="s">
        <v>51</v>
      </c>
      <c r="E31" s="4" t="s">
        <v>134</v>
      </c>
      <c r="F31" s="5" t="s">
        <v>135</v>
      </c>
      <c r="G31" s="4" t="s">
        <v>54</v>
      </c>
      <c r="H31" s="2" t="s">
        <v>21</v>
      </c>
      <c r="I31" s="2" t="s">
        <v>39</v>
      </c>
      <c r="J31" s="5" t="s">
        <v>136</v>
      </c>
      <c r="K31" s="5"/>
      <c r="L31" s="3"/>
      <c r="M31" s="6" t="str">
        <f aca="false">IF(L31="","",L31-B31)</f>
        <v/>
      </c>
      <c r="N31" s="7" t="n">
        <v>0</v>
      </c>
      <c r="O31" s="2" t="s">
        <v>25</v>
      </c>
    </row>
    <row r="32" customFormat="false" ht="39.55" hidden="false" customHeight="false" outlineLevel="0" collapsed="false">
      <c r="A32" s="2" t="s">
        <v>137</v>
      </c>
      <c r="B32" s="3" t="n">
        <v>45745</v>
      </c>
      <c r="C32" s="2" t="s">
        <v>41</v>
      </c>
      <c r="D32" s="2" t="s">
        <v>17</v>
      </c>
      <c r="E32" s="4" t="s">
        <v>138</v>
      </c>
      <c r="F32" s="5" t="s">
        <v>19</v>
      </c>
      <c r="G32" s="4" t="s">
        <v>20</v>
      </c>
      <c r="H32" s="2" t="s">
        <v>48</v>
      </c>
      <c r="I32" s="2" t="s">
        <v>22</v>
      </c>
      <c r="J32" s="5" t="s">
        <v>97</v>
      </c>
      <c r="K32" s="5" t="s">
        <v>74</v>
      </c>
      <c r="L32" s="3" t="n">
        <v>45769</v>
      </c>
      <c r="M32" s="6" t="n">
        <f aca="false">IF(L32="","",L32-B32)</f>
        <v>24</v>
      </c>
      <c r="N32" s="7" t="n">
        <v>0</v>
      </c>
      <c r="O32" s="2" t="s">
        <v>25</v>
      </c>
    </row>
    <row r="33" customFormat="false" ht="39.55" hidden="false" customHeight="false" outlineLevel="0" collapsed="false">
      <c r="A33" s="2" t="s">
        <v>139</v>
      </c>
      <c r="B33" s="3" t="n">
        <v>45746</v>
      </c>
      <c r="C33" s="2" t="s">
        <v>41</v>
      </c>
      <c r="D33" s="2" t="s">
        <v>17</v>
      </c>
      <c r="E33" s="4" t="s">
        <v>94</v>
      </c>
      <c r="F33" s="5" t="s">
        <v>100</v>
      </c>
      <c r="G33" s="4" t="s">
        <v>20</v>
      </c>
      <c r="H33" s="2" t="s">
        <v>48</v>
      </c>
      <c r="I33" s="2" t="s">
        <v>22</v>
      </c>
      <c r="J33" s="5" t="s">
        <v>97</v>
      </c>
      <c r="K33" s="5" t="s">
        <v>44</v>
      </c>
      <c r="L33" s="3" t="n">
        <v>45756</v>
      </c>
      <c r="M33" s="6" t="n">
        <f aca="false">IF(L33="","",L33-B33)</f>
        <v>10</v>
      </c>
      <c r="N33" s="7" t="n">
        <v>0</v>
      </c>
      <c r="O33" s="2" t="s">
        <v>25</v>
      </c>
    </row>
    <row r="34" customFormat="false" ht="26.85" hidden="false" customHeight="false" outlineLevel="0" collapsed="false">
      <c r="A34" s="2" t="s">
        <v>140</v>
      </c>
      <c r="B34" s="3" t="n">
        <v>45746</v>
      </c>
      <c r="C34" s="2" t="s">
        <v>16</v>
      </c>
      <c r="D34" s="2" t="s">
        <v>28</v>
      </c>
      <c r="E34" s="4" t="s">
        <v>121</v>
      </c>
      <c r="F34" s="5" t="s">
        <v>141</v>
      </c>
      <c r="G34" s="4" t="s">
        <v>31</v>
      </c>
      <c r="H34" s="2" t="s">
        <v>48</v>
      </c>
      <c r="I34" s="2" t="s">
        <v>39</v>
      </c>
      <c r="J34" s="5" t="s">
        <v>142</v>
      </c>
      <c r="K34" s="5"/>
      <c r="L34" s="3"/>
      <c r="M34" s="6" t="str">
        <f aca="false">IF(L34="","",L34-B34)</f>
        <v/>
      </c>
      <c r="N34" s="7" t="n">
        <v>0</v>
      </c>
      <c r="O34" s="2" t="s">
        <v>25</v>
      </c>
    </row>
    <row r="35" customFormat="false" ht="39.55" hidden="false" customHeight="false" outlineLevel="0" collapsed="false">
      <c r="A35" s="2" t="s">
        <v>143</v>
      </c>
      <c r="B35" s="3" t="n">
        <v>45746</v>
      </c>
      <c r="C35" s="2" t="s">
        <v>16</v>
      </c>
      <c r="D35" s="2" t="s">
        <v>58</v>
      </c>
      <c r="E35" s="4" t="s">
        <v>144</v>
      </c>
      <c r="F35" s="5" t="s">
        <v>113</v>
      </c>
      <c r="G35" s="4" t="s">
        <v>61</v>
      </c>
      <c r="H35" s="2" t="s">
        <v>48</v>
      </c>
      <c r="I35" s="2" t="s">
        <v>22</v>
      </c>
      <c r="J35" s="5" t="s">
        <v>114</v>
      </c>
      <c r="K35" s="5" t="s">
        <v>129</v>
      </c>
      <c r="L35" s="3" t="n">
        <v>45757</v>
      </c>
      <c r="M35" s="6" t="n">
        <f aca="false">IF(L35="","",L35-B35)</f>
        <v>11</v>
      </c>
      <c r="N35" s="7" t="n">
        <v>0</v>
      </c>
      <c r="O35" s="2" t="s">
        <v>25</v>
      </c>
    </row>
    <row r="36" customFormat="false" ht="26.85" hidden="false" customHeight="false" outlineLevel="0" collapsed="false">
      <c r="A36" s="2" t="s">
        <v>145</v>
      </c>
      <c r="B36" s="3" t="n">
        <v>45747</v>
      </c>
      <c r="C36" s="2" t="s">
        <v>27</v>
      </c>
      <c r="D36" s="2" t="s">
        <v>81</v>
      </c>
      <c r="E36" s="4" t="s">
        <v>46</v>
      </c>
      <c r="F36" s="5" t="s">
        <v>146</v>
      </c>
      <c r="G36" s="4" t="s">
        <v>83</v>
      </c>
      <c r="H36" s="2" t="s">
        <v>48</v>
      </c>
      <c r="I36" s="2" t="s">
        <v>79</v>
      </c>
      <c r="J36" s="5"/>
      <c r="K36" s="5"/>
      <c r="L36" s="3" t="n">
        <v>45772</v>
      </c>
      <c r="M36" s="6" t="n">
        <f aca="false">IF(L36="","",L36-B36)</f>
        <v>25</v>
      </c>
      <c r="N36" s="7" t="n">
        <v>0</v>
      </c>
      <c r="O36" s="2" t="s">
        <v>25</v>
      </c>
    </row>
    <row r="37" customFormat="false" ht="26.85" hidden="false" customHeight="false" outlineLevel="0" collapsed="false">
      <c r="A37" s="2" t="s">
        <v>147</v>
      </c>
      <c r="B37" s="3" t="n">
        <v>45748</v>
      </c>
      <c r="C37" s="2" t="s">
        <v>35</v>
      </c>
      <c r="D37" s="2" t="s">
        <v>17</v>
      </c>
      <c r="E37" s="4" t="s">
        <v>148</v>
      </c>
      <c r="F37" s="5" t="s">
        <v>72</v>
      </c>
      <c r="G37" s="4" t="s">
        <v>20</v>
      </c>
      <c r="H37" s="2" t="s">
        <v>38</v>
      </c>
      <c r="I37" s="2" t="s">
        <v>22</v>
      </c>
      <c r="J37" s="5"/>
      <c r="K37" s="5"/>
      <c r="L37" s="3" t="n">
        <v>45774</v>
      </c>
      <c r="M37" s="6" t="n">
        <f aca="false">IF(L37="","",L37-B37)</f>
        <v>26</v>
      </c>
      <c r="N37" s="7" t="n">
        <v>0</v>
      </c>
      <c r="O37" s="2" t="s">
        <v>25</v>
      </c>
    </row>
    <row r="38" customFormat="false" ht="39.55" hidden="false" customHeight="false" outlineLevel="0" collapsed="false">
      <c r="A38" s="2" t="s">
        <v>149</v>
      </c>
      <c r="B38" s="3" t="n">
        <v>45750</v>
      </c>
      <c r="C38" s="2" t="s">
        <v>16</v>
      </c>
      <c r="D38" s="2" t="s">
        <v>17</v>
      </c>
      <c r="E38" s="4" t="s">
        <v>103</v>
      </c>
      <c r="F38" s="5" t="s">
        <v>122</v>
      </c>
      <c r="G38" s="4" t="s">
        <v>20</v>
      </c>
      <c r="H38" s="2" t="s">
        <v>21</v>
      </c>
      <c r="I38" s="2" t="s">
        <v>79</v>
      </c>
      <c r="J38" s="5" t="s">
        <v>97</v>
      </c>
      <c r="K38" s="5" t="s">
        <v>44</v>
      </c>
      <c r="L38" s="3" t="n">
        <v>45768</v>
      </c>
      <c r="M38" s="6" t="n">
        <f aca="false">IF(L38="","",L38-B38)</f>
        <v>18</v>
      </c>
      <c r="N38" s="7" t="n">
        <v>867000</v>
      </c>
      <c r="O38" s="2" t="s">
        <v>25</v>
      </c>
    </row>
    <row r="39" customFormat="false" ht="26.85" hidden="false" customHeight="false" outlineLevel="0" collapsed="false">
      <c r="A39" s="2" t="s">
        <v>150</v>
      </c>
      <c r="B39" s="3" t="n">
        <v>45752</v>
      </c>
      <c r="C39" s="2" t="s">
        <v>16</v>
      </c>
      <c r="D39" s="2" t="s">
        <v>17</v>
      </c>
      <c r="E39" s="4" t="s">
        <v>151</v>
      </c>
      <c r="F39" s="5" t="s">
        <v>64</v>
      </c>
      <c r="G39" s="4" t="s">
        <v>20</v>
      </c>
      <c r="H39" s="2" t="s">
        <v>21</v>
      </c>
      <c r="I39" s="2" t="s">
        <v>39</v>
      </c>
      <c r="J39" s="5" t="s">
        <v>23</v>
      </c>
      <c r="K39" s="5"/>
      <c r="L39" s="3"/>
      <c r="M39" s="6" t="str">
        <f aca="false">IF(L39="","",L39-B39)</f>
        <v/>
      </c>
      <c r="N39" s="7" t="n">
        <v>0</v>
      </c>
      <c r="O39" s="2" t="s">
        <v>92</v>
      </c>
    </row>
    <row r="40" customFormat="false" ht="39.55" hidden="false" customHeight="false" outlineLevel="0" collapsed="false">
      <c r="A40" s="2" t="s">
        <v>152</v>
      </c>
      <c r="B40" s="3" t="n">
        <v>45753</v>
      </c>
      <c r="C40" s="2" t="s">
        <v>16</v>
      </c>
      <c r="D40" s="2" t="s">
        <v>51</v>
      </c>
      <c r="E40" s="4" t="s">
        <v>29</v>
      </c>
      <c r="F40" s="5" t="s">
        <v>153</v>
      </c>
      <c r="G40" s="4" t="s">
        <v>54</v>
      </c>
      <c r="H40" s="2" t="s">
        <v>48</v>
      </c>
      <c r="I40" s="2" t="s">
        <v>39</v>
      </c>
      <c r="J40" s="5" t="s">
        <v>136</v>
      </c>
      <c r="K40" s="5"/>
      <c r="L40" s="3"/>
      <c r="M40" s="6" t="str">
        <f aca="false">IF(L40="","",L40-B40)</f>
        <v/>
      </c>
      <c r="N40" s="7" t="n">
        <v>0</v>
      </c>
      <c r="O40" s="2" t="s">
        <v>25</v>
      </c>
    </row>
    <row r="41" customFormat="false" ht="39.55" hidden="false" customHeight="false" outlineLevel="0" collapsed="false">
      <c r="A41" s="2" t="s">
        <v>154</v>
      </c>
      <c r="B41" s="3" t="n">
        <v>45756</v>
      </c>
      <c r="C41" s="2" t="s">
        <v>41</v>
      </c>
      <c r="D41" s="2" t="s">
        <v>17</v>
      </c>
      <c r="E41" s="4" t="s">
        <v>155</v>
      </c>
      <c r="F41" s="5" t="s">
        <v>72</v>
      </c>
      <c r="G41" s="4" t="s">
        <v>20</v>
      </c>
      <c r="H41" s="2" t="s">
        <v>48</v>
      </c>
      <c r="I41" s="2" t="s">
        <v>79</v>
      </c>
      <c r="J41" s="5" t="s">
        <v>73</v>
      </c>
      <c r="K41" s="5" t="s">
        <v>101</v>
      </c>
      <c r="L41" s="3" t="n">
        <v>45780</v>
      </c>
      <c r="M41" s="6" t="n">
        <f aca="false">IF(L41="","",L41-B41)</f>
        <v>24</v>
      </c>
      <c r="N41" s="7" t="n">
        <v>0</v>
      </c>
      <c r="O41" s="2" t="s">
        <v>25</v>
      </c>
    </row>
    <row r="42" customFormat="false" ht="39.55" hidden="false" customHeight="false" outlineLevel="0" collapsed="false">
      <c r="A42" s="2" t="s">
        <v>156</v>
      </c>
      <c r="B42" s="3" t="n">
        <v>45762</v>
      </c>
      <c r="C42" s="2" t="s">
        <v>16</v>
      </c>
      <c r="D42" s="2" t="s">
        <v>17</v>
      </c>
      <c r="E42" s="4" t="s">
        <v>157</v>
      </c>
      <c r="F42" s="5" t="s">
        <v>64</v>
      </c>
      <c r="G42" s="4" t="s">
        <v>20</v>
      </c>
      <c r="H42" s="2" t="s">
        <v>48</v>
      </c>
      <c r="I42" s="2" t="s">
        <v>22</v>
      </c>
      <c r="J42" s="5" t="s">
        <v>132</v>
      </c>
      <c r="K42" s="5" t="s">
        <v>44</v>
      </c>
      <c r="L42" s="3" t="n">
        <v>45781</v>
      </c>
      <c r="M42" s="6" t="n">
        <f aca="false">IF(L42="","",L42-B42)</f>
        <v>19</v>
      </c>
      <c r="N42" s="7" t="n">
        <v>0</v>
      </c>
      <c r="O42" s="2" t="s">
        <v>25</v>
      </c>
    </row>
    <row r="43" customFormat="false" ht="39.55" hidden="false" customHeight="false" outlineLevel="0" collapsed="false">
      <c r="A43" s="2" t="s">
        <v>158</v>
      </c>
      <c r="B43" s="3" t="n">
        <v>45763</v>
      </c>
      <c r="C43" s="2" t="s">
        <v>16</v>
      </c>
      <c r="D43" s="2" t="s">
        <v>28</v>
      </c>
      <c r="E43" s="4" t="s">
        <v>107</v>
      </c>
      <c r="F43" s="5" t="s">
        <v>159</v>
      </c>
      <c r="G43" s="4" t="s">
        <v>31</v>
      </c>
      <c r="H43" s="2" t="s">
        <v>21</v>
      </c>
      <c r="I43" s="2" t="s">
        <v>39</v>
      </c>
      <c r="J43" s="5" t="s">
        <v>160</v>
      </c>
      <c r="K43" s="5"/>
      <c r="L43" s="3"/>
      <c r="M43" s="6" t="str">
        <f aca="false">IF(L43="","",L43-B43)</f>
        <v/>
      </c>
      <c r="N43" s="7" t="n">
        <v>0</v>
      </c>
      <c r="O43" s="2" t="s">
        <v>25</v>
      </c>
    </row>
    <row r="44" customFormat="false" ht="26.85" hidden="false" customHeight="false" outlineLevel="0" collapsed="false">
      <c r="A44" s="2" t="s">
        <v>161</v>
      </c>
      <c r="B44" s="3" t="n">
        <v>45769</v>
      </c>
      <c r="C44" s="2" t="s">
        <v>41</v>
      </c>
      <c r="D44" s="2" t="s">
        <v>58</v>
      </c>
      <c r="E44" s="4" t="s">
        <v>162</v>
      </c>
      <c r="F44" s="5" t="s">
        <v>163</v>
      </c>
      <c r="G44" s="4" t="s">
        <v>61</v>
      </c>
      <c r="H44" s="2" t="s">
        <v>38</v>
      </c>
      <c r="I44" s="2" t="s">
        <v>22</v>
      </c>
      <c r="J44" s="5" t="s">
        <v>128</v>
      </c>
      <c r="K44" s="5" t="s">
        <v>115</v>
      </c>
      <c r="L44" s="3" t="n">
        <v>45777</v>
      </c>
      <c r="M44" s="6" t="n">
        <f aca="false">IF(L44="","",L44-B44)</f>
        <v>8</v>
      </c>
      <c r="N44" s="7" t="n">
        <v>0</v>
      </c>
      <c r="O44" s="2" t="s">
        <v>25</v>
      </c>
    </row>
    <row r="45" customFormat="false" ht="26.85" hidden="false" customHeight="false" outlineLevel="0" collapsed="false">
      <c r="A45" s="2" t="s">
        <v>164</v>
      </c>
      <c r="B45" s="3" t="n">
        <v>45769</v>
      </c>
      <c r="C45" s="2" t="s">
        <v>41</v>
      </c>
      <c r="D45" s="2" t="s">
        <v>58</v>
      </c>
      <c r="E45" s="4" t="s">
        <v>165</v>
      </c>
      <c r="F45" s="5" t="s">
        <v>127</v>
      </c>
      <c r="G45" s="4" t="s">
        <v>61</v>
      </c>
      <c r="H45" s="2" t="s">
        <v>48</v>
      </c>
      <c r="I45" s="2" t="s">
        <v>22</v>
      </c>
      <c r="J45" s="5" t="s">
        <v>114</v>
      </c>
      <c r="K45" s="5" t="s">
        <v>115</v>
      </c>
      <c r="L45" s="3" t="n">
        <v>45784</v>
      </c>
      <c r="M45" s="6" t="n">
        <f aca="false">IF(L45="","",L45-B45)</f>
        <v>15</v>
      </c>
      <c r="N45" s="7" t="n">
        <v>0</v>
      </c>
      <c r="O45" s="2" t="s">
        <v>25</v>
      </c>
    </row>
    <row r="46" customFormat="false" ht="39.55" hidden="false" customHeight="false" outlineLevel="0" collapsed="false">
      <c r="A46" s="2" t="s">
        <v>166</v>
      </c>
      <c r="B46" s="3" t="n">
        <v>45769</v>
      </c>
      <c r="C46" s="2" t="s">
        <v>41</v>
      </c>
      <c r="D46" s="2" t="s">
        <v>51</v>
      </c>
      <c r="E46" s="4" t="s">
        <v>138</v>
      </c>
      <c r="F46" s="5" t="s">
        <v>153</v>
      </c>
      <c r="G46" s="4" t="s">
        <v>54</v>
      </c>
      <c r="H46" s="2" t="s">
        <v>32</v>
      </c>
      <c r="I46" s="2" t="s">
        <v>22</v>
      </c>
      <c r="J46" s="5" t="s">
        <v>167</v>
      </c>
      <c r="K46" s="5" t="s">
        <v>105</v>
      </c>
      <c r="L46" s="3" t="n">
        <v>45774</v>
      </c>
      <c r="M46" s="6" t="n">
        <f aca="false">IF(L46="","",L46-B46)</f>
        <v>5</v>
      </c>
      <c r="N46" s="7" t="n">
        <v>1189000</v>
      </c>
      <c r="O46" s="2" t="s">
        <v>92</v>
      </c>
    </row>
    <row r="47" customFormat="false" ht="26.85" hidden="false" customHeight="false" outlineLevel="0" collapsed="false">
      <c r="A47" s="2" t="s">
        <v>168</v>
      </c>
      <c r="B47" s="3" t="n">
        <v>45773</v>
      </c>
      <c r="C47" s="2" t="s">
        <v>16</v>
      </c>
      <c r="D47" s="2" t="s">
        <v>81</v>
      </c>
      <c r="E47" s="4" t="s">
        <v>169</v>
      </c>
      <c r="F47" s="5" t="s">
        <v>89</v>
      </c>
      <c r="G47" s="4" t="s">
        <v>83</v>
      </c>
      <c r="H47" s="2" t="s">
        <v>38</v>
      </c>
      <c r="I47" s="2" t="s">
        <v>39</v>
      </c>
      <c r="J47" s="5" t="s">
        <v>90</v>
      </c>
      <c r="K47" s="5"/>
      <c r="L47" s="3"/>
      <c r="M47" s="6" t="str">
        <f aca="false">IF(L47="","",L47-B47)</f>
        <v/>
      </c>
      <c r="N47" s="7" t="n">
        <v>0</v>
      </c>
      <c r="O47" s="2" t="s">
        <v>92</v>
      </c>
    </row>
    <row r="48" customFormat="false" ht="39.55" hidden="false" customHeight="false" outlineLevel="0" collapsed="false">
      <c r="A48" s="2" t="s">
        <v>170</v>
      </c>
      <c r="B48" s="3" t="n">
        <v>45773</v>
      </c>
      <c r="C48" s="2" t="s">
        <v>41</v>
      </c>
      <c r="D48" s="2" t="s">
        <v>58</v>
      </c>
      <c r="E48" s="4" t="s">
        <v>171</v>
      </c>
      <c r="F48" s="5" t="s">
        <v>113</v>
      </c>
      <c r="G48" s="4" t="s">
        <v>61</v>
      </c>
      <c r="H48" s="2" t="s">
        <v>48</v>
      </c>
      <c r="I48" s="2" t="s">
        <v>79</v>
      </c>
      <c r="J48" s="5" t="s">
        <v>128</v>
      </c>
      <c r="K48" s="5" t="s">
        <v>129</v>
      </c>
      <c r="L48" s="3" t="n">
        <v>45787</v>
      </c>
      <c r="M48" s="6" t="n">
        <f aca="false">IF(L48="","",L48-B48)</f>
        <v>14</v>
      </c>
      <c r="N48" s="7" t="n">
        <v>0</v>
      </c>
      <c r="O48" s="2" t="s">
        <v>25</v>
      </c>
    </row>
    <row r="49" customFormat="false" ht="26.85" hidden="false" customHeight="false" outlineLevel="0" collapsed="false">
      <c r="A49" s="2" t="s">
        <v>172</v>
      </c>
      <c r="B49" s="3" t="n">
        <v>45775</v>
      </c>
      <c r="C49" s="2" t="s">
        <v>41</v>
      </c>
      <c r="D49" s="2" t="s">
        <v>81</v>
      </c>
      <c r="E49" s="4" t="s">
        <v>85</v>
      </c>
      <c r="F49" s="5" t="s">
        <v>82</v>
      </c>
      <c r="G49" s="4" t="s">
        <v>83</v>
      </c>
      <c r="H49" s="2" t="s">
        <v>48</v>
      </c>
      <c r="I49" s="2" t="s">
        <v>22</v>
      </c>
      <c r="J49" s="5" t="s">
        <v>90</v>
      </c>
      <c r="K49" s="5" t="s">
        <v>91</v>
      </c>
      <c r="L49" s="3" t="n">
        <v>45800</v>
      </c>
      <c r="M49" s="6" t="n">
        <f aca="false">IF(L49="","",L49-B49)</f>
        <v>25</v>
      </c>
      <c r="N49" s="7" t="n">
        <v>0</v>
      </c>
      <c r="O49" s="2" t="s">
        <v>25</v>
      </c>
    </row>
    <row r="50" customFormat="false" ht="39.55" hidden="false" customHeight="false" outlineLevel="0" collapsed="false">
      <c r="A50" s="2" t="s">
        <v>173</v>
      </c>
      <c r="B50" s="3" t="n">
        <v>45782</v>
      </c>
      <c r="C50" s="2" t="s">
        <v>16</v>
      </c>
      <c r="D50" s="2" t="s">
        <v>51</v>
      </c>
      <c r="E50" s="4" t="s">
        <v>85</v>
      </c>
      <c r="F50" s="5" t="s">
        <v>53</v>
      </c>
      <c r="G50" s="4" t="s">
        <v>54</v>
      </c>
      <c r="H50" s="2" t="s">
        <v>21</v>
      </c>
      <c r="I50" s="2" t="s">
        <v>22</v>
      </c>
      <c r="J50" s="5" t="s">
        <v>136</v>
      </c>
      <c r="K50" s="5" t="s">
        <v>56</v>
      </c>
      <c r="L50" s="3" t="n">
        <v>45812</v>
      </c>
      <c r="M50" s="6" t="n">
        <f aca="false">IF(L50="","",L50-B50)</f>
        <v>30</v>
      </c>
      <c r="N50" s="7" t="n">
        <v>0</v>
      </c>
      <c r="O50" s="2" t="s">
        <v>92</v>
      </c>
    </row>
    <row r="51" customFormat="false" ht="39.55" hidden="false" customHeight="false" outlineLevel="0" collapsed="false">
      <c r="A51" s="2" t="s">
        <v>174</v>
      </c>
      <c r="B51" s="3" t="n">
        <v>45782</v>
      </c>
      <c r="C51" s="2" t="s">
        <v>16</v>
      </c>
      <c r="D51" s="2" t="s">
        <v>17</v>
      </c>
      <c r="E51" s="4" t="s">
        <v>175</v>
      </c>
      <c r="F51" s="5" t="s">
        <v>100</v>
      </c>
      <c r="G51" s="4" t="s">
        <v>20</v>
      </c>
      <c r="H51" s="2" t="s">
        <v>48</v>
      </c>
      <c r="I51" s="2" t="s">
        <v>22</v>
      </c>
      <c r="J51" s="5" t="s">
        <v>23</v>
      </c>
      <c r="K51" s="5" t="s">
        <v>44</v>
      </c>
      <c r="L51" s="3" t="n">
        <v>45800</v>
      </c>
      <c r="M51" s="6" t="n">
        <f aca="false">IF(L51="","",L51-B51)</f>
        <v>18</v>
      </c>
      <c r="N51" s="7" t="n">
        <v>0</v>
      </c>
      <c r="O51" s="2" t="s">
        <v>25</v>
      </c>
    </row>
    <row r="52" customFormat="false" ht="39.55" hidden="false" customHeight="false" outlineLevel="0" collapsed="false">
      <c r="A52" s="2" t="s">
        <v>176</v>
      </c>
      <c r="B52" s="3" t="n">
        <v>45784</v>
      </c>
      <c r="C52" s="2" t="s">
        <v>41</v>
      </c>
      <c r="D52" s="2" t="s">
        <v>51</v>
      </c>
      <c r="E52" s="4" t="s">
        <v>177</v>
      </c>
      <c r="F52" s="5" t="s">
        <v>178</v>
      </c>
      <c r="G52" s="4" t="s">
        <v>54</v>
      </c>
      <c r="H52" s="2" t="s">
        <v>38</v>
      </c>
      <c r="I52" s="2" t="s">
        <v>22</v>
      </c>
      <c r="J52" s="5" t="s">
        <v>136</v>
      </c>
      <c r="K52" s="5" t="s">
        <v>56</v>
      </c>
      <c r="L52" s="3" t="n">
        <v>45796</v>
      </c>
      <c r="M52" s="6" t="n">
        <f aca="false">IF(L52="","",L52-B52)</f>
        <v>12</v>
      </c>
      <c r="N52" s="7" t="n">
        <v>0</v>
      </c>
      <c r="O52" s="2" t="s">
        <v>25</v>
      </c>
    </row>
    <row r="53" customFormat="false" ht="39.55" hidden="false" customHeight="false" outlineLevel="0" collapsed="false">
      <c r="A53" s="2" t="s">
        <v>179</v>
      </c>
      <c r="B53" s="3" t="n">
        <v>45791</v>
      </c>
      <c r="C53" s="2" t="s">
        <v>16</v>
      </c>
      <c r="D53" s="2" t="s">
        <v>17</v>
      </c>
      <c r="E53" s="4" t="s">
        <v>117</v>
      </c>
      <c r="F53" s="5" t="s">
        <v>64</v>
      </c>
      <c r="G53" s="4" t="s">
        <v>20</v>
      </c>
      <c r="H53" s="2" t="s">
        <v>32</v>
      </c>
      <c r="I53" s="2" t="s">
        <v>22</v>
      </c>
      <c r="J53" s="5" t="s">
        <v>132</v>
      </c>
      <c r="K53" s="5" t="s">
        <v>74</v>
      </c>
      <c r="L53" s="3" t="n">
        <v>45819</v>
      </c>
      <c r="M53" s="6" t="n">
        <f aca="false">IF(L53="","",L53-B53)</f>
        <v>28</v>
      </c>
      <c r="N53" s="7" t="n">
        <v>2347000</v>
      </c>
      <c r="O53" s="2" t="s">
        <v>25</v>
      </c>
    </row>
    <row r="54" customFormat="false" ht="26.85" hidden="false" customHeight="false" outlineLevel="0" collapsed="false">
      <c r="A54" s="2" t="s">
        <v>180</v>
      </c>
      <c r="B54" s="3" t="n">
        <v>45791</v>
      </c>
      <c r="C54" s="2" t="s">
        <v>41</v>
      </c>
      <c r="D54" s="2" t="s">
        <v>58</v>
      </c>
      <c r="E54" s="4" t="s">
        <v>181</v>
      </c>
      <c r="F54" s="5" t="s">
        <v>163</v>
      </c>
      <c r="G54" s="4" t="s">
        <v>61</v>
      </c>
      <c r="H54" s="2" t="s">
        <v>21</v>
      </c>
      <c r="I54" s="2" t="s">
        <v>79</v>
      </c>
      <c r="J54" s="5" t="s">
        <v>114</v>
      </c>
      <c r="K54" s="5" t="s">
        <v>182</v>
      </c>
      <c r="L54" s="3" t="n">
        <v>45806</v>
      </c>
      <c r="M54" s="6" t="n">
        <f aca="false">IF(L54="","",L54-B54)</f>
        <v>15</v>
      </c>
      <c r="N54" s="7" t="n">
        <v>0</v>
      </c>
      <c r="O54" s="2" t="s">
        <v>25</v>
      </c>
    </row>
    <row r="55" customFormat="false" ht="26.85" hidden="false" customHeight="false" outlineLevel="0" collapsed="false">
      <c r="A55" s="2" t="s">
        <v>183</v>
      </c>
      <c r="B55" s="3" t="n">
        <v>45793</v>
      </c>
      <c r="C55" s="2" t="s">
        <v>27</v>
      </c>
      <c r="D55" s="2" t="s">
        <v>17</v>
      </c>
      <c r="E55" s="4" t="s">
        <v>177</v>
      </c>
      <c r="F55" s="5" t="s">
        <v>72</v>
      </c>
      <c r="G55" s="4" t="s">
        <v>20</v>
      </c>
      <c r="H55" s="2" t="s">
        <v>48</v>
      </c>
      <c r="I55" s="2" t="s">
        <v>22</v>
      </c>
      <c r="J55" s="5"/>
      <c r="K55" s="5"/>
      <c r="L55" s="3" t="n">
        <v>45817</v>
      </c>
      <c r="M55" s="6" t="n">
        <f aca="false">IF(L55="","",L55-B55)</f>
        <v>24</v>
      </c>
      <c r="N55" s="7" t="n">
        <v>0</v>
      </c>
      <c r="O55" s="2" t="s">
        <v>25</v>
      </c>
    </row>
    <row r="56" customFormat="false" ht="26.85" hidden="false" customHeight="false" outlineLevel="0" collapsed="false">
      <c r="A56" s="2" t="s">
        <v>184</v>
      </c>
      <c r="B56" s="3" t="n">
        <v>45799</v>
      </c>
      <c r="C56" s="2" t="s">
        <v>16</v>
      </c>
      <c r="D56" s="2" t="s">
        <v>58</v>
      </c>
      <c r="E56" s="4" t="s">
        <v>185</v>
      </c>
      <c r="F56" s="5" t="s">
        <v>60</v>
      </c>
      <c r="G56" s="4" t="s">
        <v>61</v>
      </c>
      <c r="H56" s="2" t="s">
        <v>21</v>
      </c>
      <c r="I56" s="2" t="s">
        <v>22</v>
      </c>
      <c r="J56" s="5" t="s">
        <v>114</v>
      </c>
      <c r="K56" s="5" t="s">
        <v>182</v>
      </c>
      <c r="L56" s="3" t="n">
        <v>45814</v>
      </c>
      <c r="M56" s="6" t="n">
        <f aca="false">IF(L56="","",L56-B56)</f>
        <v>15</v>
      </c>
      <c r="N56" s="7" t="n">
        <v>0</v>
      </c>
      <c r="O56" s="2" t="s">
        <v>25</v>
      </c>
    </row>
    <row r="57" customFormat="false" ht="26.85" hidden="false" customHeight="false" outlineLevel="0" collapsed="false">
      <c r="A57" s="2" t="s">
        <v>186</v>
      </c>
      <c r="B57" s="3" t="n">
        <v>45800</v>
      </c>
      <c r="C57" s="2" t="s">
        <v>35</v>
      </c>
      <c r="D57" s="2" t="s">
        <v>51</v>
      </c>
      <c r="E57" s="4" t="s">
        <v>187</v>
      </c>
      <c r="F57" s="5" t="s">
        <v>178</v>
      </c>
      <c r="G57" s="4" t="s">
        <v>54</v>
      </c>
      <c r="H57" s="2" t="s">
        <v>48</v>
      </c>
      <c r="I57" s="2" t="s">
        <v>79</v>
      </c>
      <c r="J57" s="5"/>
      <c r="K57" s="5"/>
      <c r="L57" s="3" t="n">
        <v>45806</v>
      </c>
      <c r="M57" s="6" t="n">
        <f aca="false">IF(L57="","",L57-B57)</f>
        <v>6</v>
      </c>
      <c r="N57" s="7" t="n">
        <v>0</v>
      </c>
      <c r="O57" s="2" t="s">
        <v>25</v>
      </c>
    </row>
    <row r="58" customFormat="false" ht="39.55" hidden="false" customHeight="false" outlineLevel="0" collapsed="false">
      <c r="A58" s="2" t="s">
        <v>188</v>
      </c>
      <c r="B58" s="3" t="n">
        <v>45801</v>
      </c>
      <c r="C58" s="2" t="s">
        <v>41</v>
      </c>
      <c r="D58" s="2" t="s">
        <v>28</v>
      </c>
      <c r="E58" s="4" t="s">
        <v>96</v>
      </c>
      <c r="F58" s="5" t="s">
        <v>189</v>
      </c>
      <c r="G58" s="4" t="s">
        <v>31</v>
      </c>
      <c r="H58" s="2" t="s">
        <v>48</v>
      </c>
      <c r="I58" s="2" t="s">
        <v>22</v>
      </c>
      <c r="J58" s="5" t="s">
        <v>160</v>
      </c>
      <c r="K58" s="5" t="s">
        <v>190</v>
      </c>
      <c r="L58" s="3" t="n">
        <v>45810</v>
      </c>
      <c r="M58" s="6" t="n">
        <f aca="false">IF(L58="","",L58-B58)</f>
        <v>9</v>
      </c>
      <c r="N58" s="7" t="n">
        <v>0</v>
      </c>
      <c r="O58" s="2" t="s">
        <v>25</v>
      </c>
    </row>
    <row r="59" customFormat="false" ht="26.85" hidden="false" customHeight="false" outlineLevel="0" collapsed="false">
      <c r="A59" s="2" t="s">
        <v>191</v>
      </c>
      <c r="B59" s="3" t="n">
        <v>45804</v>
      </c>
      <c r="C59" s="2" t="s">
        <v>41</v>
      </c>
      <c r="D59" s="2" t="s">
        <v>28</v>
      </c>
      <c r="E59" s="4" t="s">
        <v>192</v>
      </c>
      <c r="F59" s="5" t="s">
        <v>30</v>
      </c>
      <c r="G59" s="4" t="s">
        <v>31</v>
      </c>
      <c r="H59" s="2" t="s">
        <v>48</v>
      </c>
      <c r="I59" s="2" t="s">
        <v>22</v>
      </c>
      <c r="J59" s="5" t="s">
        <v>49</v>
      </c>
      <c r="K59" s="5" t="s">
        <v>193</v>
      </c>
      <c r="L59" s="3" t="n">
        <v>45810</v>
      </c>
      <c r="M59" s="6" t="n">
        <f aca="false">IF(L59="","",L59-B59)</f>
        <v>6</v>
      </c>
      <c r="N59" s="7" t="n">
        <v>0</v>
      </c>
      <c r="O59" s="2" t="s">
        <v>92</v>
      </c>
    </row>
    <row r="60" customFormat="false" ht="39.55" hidden="false" customHeight="false" outlineLevel="0" collapsed="false">
      <c r="A60" s="2" t="s">
        <v>194</v>
      </c>
      <c r="B60" s="3" t="n">
        <v>45805</v>
      </c>
      <c r="C60" s="2" t="s">
        <v>16</v>
      </c>
      <c r="D60" s="2" t="s">
        <v>28</v>
      </c>
      <c r="E60" s="4" t="s">
        <v>134</v>
      </c>
      <c r="F60" s="5" t="s">
        <v>86</v>
      </c>
      <c r="G60" s="4" t="s">
        <v>31</v>
      </c>
      <c r="H60" s="2" t="s">
        <v>21</v>
      </c>
      <c r="I60" s="2" t="s">
        <v>22</v>
      </c>
      <c r="J60" s="5" t="s">
        <v>160</v>
      </c>
      <c r="K60" s="5" t="s">
        <v>190</v>
      </c>
      <c r="L60" s="3" t="n">
        <v>45830</v>
      </c>
      <c r="M60" s="6" t="n">
        <f aca="false">IF(L60="","",L60-B60)</f>
        <v>25</v>
      </c>
      <c r="N60" s="7" t="n">
        <v>0</v>
      </c>
      <c r="O60" s="2" t="s">
        <v>25</v>
      </c>
    </row>
    <row r="61" customFormat="false" ht="26.85" hidden="false" customHeight="false" outlineLevel="0" collapsed="false">
      <c r="A61" s="2" t="s">
        <v>195</v>
      </c>
      <c r="B61" s="3" t="n">
        <v>45807</v>
      </c>
      <c r="C61" s="2" t="s">
        <v>16</v>
      </c>
      <c r="D61" s="2" t="s">
        <v>51</v>
      </c>
      <c r="E61" s="4" t="s">
        <v>76</v>
      </c>
      <c r="F61" s="5" t="s">
        <v>67</v>
      </c>
      <c r="G61" s="4" t="s">
        <v>54</v>
      </c>
      <c r="H61" s="2" t="s">
        <v>21</v>
      </c>
      <c r="I61" s="2" t="s">
        <v>22</v>
      </c>
      <c r="J61" s="5" t="s">
        <v>167</v>
      </c>
      <c r="K61" s="5" t="s">
        <v>108</v>
      </c>
      <c r="L61" s="3" t="n">
        <v>45819</v>
      </c>
      <c r="M61" s="6" t="n">
        <f aca="false">IF(L61="","",L61-B61)</f>
        <v>12</v>
      </c>
      <c r="N61" s="7" t="n">
        <v>1645000</v>
      </c>
      <c r="O61" s="2" t="s">
        <v>92</v>
      </c>
    </row>
    <row r="62" customFormat="false" ht="26.85" hidden="false" customHeight="false" outlineLevel="0" collapsed="false">
      <c r="A62" s="2" t="s">
        <v>196</v>
      </c>
      <c r="B62" s="3" t="n">
        <v>45807</v>
      </c>
      <c r="C62" s="2" t="s">
        <v>27</v>
      </c>
      <c r="D62" s="2" t="s">
        <v>17</v>
      </c>
      <c r="E62" s="4" t="s">
        <v>197</v>
      </c>
      <c r="F62" s="5" t="s">
        <v>72</v>
      </c>
      <c r="G62" s="4" t="s">
        <v>20</v>
      </c>
      <c r="H62" s="2" t="s">
        <v>21</v>
      </c>
      <c r="I62" s="2" t="s">
        <v>79</v>
      </c>
      <c r="J62" s="5"/>
      <c r="K62" s="5"/>
      <c r="L62" s="3" t="n">
        <v>45810</v>
      </c>
      <c r="M62" s="6" t="n">
        <f aca="false">IF(L62="","",L62-B62)</f>
        <v>3</v>
      </c>
      <c r="N62" s="7" t="n">
        <v>0</v>
      </c>
      <c r="O62" s="2" t="s">
        <v>25</v>
      </c>
    </row>
    <row r="63" customFormat="false" ht="26.85" hidden="false" customHeight="false" outlineLevel="0" collapsed="false">
      <c r="A63" s="2" t="s">
        <v>198</v>
      </c>
      <c r="B63" s="3" t="n">
        <v>45811</v>
      </c>
      <c r="C63" s="2" t="s">
        <v>35</v>
      </c>
      <c r="D63" s="2" t="s">
        <v>17</v>
      </c>
      <c r="E63" s="4" t="s">
        <v>134</v>
      </c>
      <c r="F63" s="5" t="s">
        <v>199</v>
      </c>
      <c r="G63" s="4" t="s">
        <v>20</v>
      </c>
      <c r="H63" s="2" t="s">
        <v>48</v>
      </c>
      <c r="I63" s="2" t="s">
        <v>22</v>
      </c>
      <c r="J63" s="5"/>
      <c r="K63" s="5"/>
      <c r="L63" s="3" t="n">
        <v>45826</v>
      </c>
      <c r="M63" s="6" t="n">
        <f aca="false">IF(L63="","",L63-B63)</f>
        <v>15</v>
      </c>
      <c r="N63" s="7" t="n">
        <v>0</v>
      </c>
      <c r="O63" s="2" t="s">
        <v>25</v>
      </c>
    </row>
    <row r="64" customFormat="false" ht="26.85" hidden="false" customHeight="false" outlineLevel="0" collapsed="false">
      <c r="A64" s="2" t="s">
        <v>200</v>
      </c>
      <c r="B64" s="3" t="n">
        <v>45811</v>
      </c>
      <c r="C64" s="2" t="s">
        <v>27</v>
      </c>
      <c r="D64" s="2" t="s">
        <v>17</v>
      </c>
      <c r="E64" s="4" t="s">
        <v>151</v>
      </c>
      <c r="F64" s="5" t="s">
        <v>199</v>
      </c>
      <c r="G64" s="4" t="s">
        <v>20</v>
      </c>
      <c r="H64" s="2" t="s">
        <v>38</v>
      </c>
      <c r="I64" s="2" t="s">
        <v>79</v>
      </c>
      <c r="J64" s="5"/>
      <c r="K64" s="5"/>
      <c r="L64" s="3" t="n">
        <v>45827</v>
      </c>
      <c r="M64" s="6" t="n">
        <f aca="false">IF(L64="","",L64-B64)</f>
        <v>16</v>
      </c>
      <c r="N64" s="7" t="n">
        <v>0</v>
      </c>
      <c r="O64" s="2" t="s">
        <v>25</v>
      </c>
    </row>
    <row r="65" customFormat="false" ht="39.55" hidden="false" customHeight="false" outlineLevel="0" collapsed="false">
      <c r="A65" s="2" t="s">
        <v>201</v>
      </c>
      <c r="B65" s="3" t="n">
        <v>45811</v>
      </c>
      <c r="C65" s="2" t="s">
        <v>41</v>
      </c>
      <c r="D65" s="2" t="s">
        <v>51</v>
      </c>
      <c r="E65" s="4" t="s">
        <v>202</v>
      </c>
      <c r="F65" s="5" t="s">
        <v>110</v>
      </c>
      <c r="G65" s="4" t="s">
        <v>54</v>
      </c>
      <c r="H65" s="2" t="s">
        <v>38</v>
      </c>
      <c r="I65" s="2" t="s">
        <v>22</v>
      </c>
      <c r="J65" s="5" t="s">
        <v>55</v>
      </c>
      <c r="K65" s="5" t="s">
        <v>105</v>
      </c>
      <c r="L65" s="3" t="n">
        <v>45814</v>
      </c>
      <c r="M65" s="6" t="n">
        <f aca="false">IF(L65="","",L65-B65)</f>
        <v>3</v>
      </c>
      <c r="N65" s="7" t="n">
        <v>318000</v>
      </c>
      <c r="O65" s="2" t="s">
        <v>25</v>
      </c>
    </row>
    <row r="66" customFormat="false" ht="26.85" hidden="false" customHeight="false" outlineLevel="0" collapsed="false">
      <c r="A66" s="2" t="s">
        <v>203</v>
      </c>
      <c r="B66" s="3" t="n">
        <v>45811</v>
      </c>
      <c r="C66" s="2" t="s">
        <v>16</v>
      </c>
      <c r="D66" s="2" t="s">
        <v>17</v>
      </c>
      <c r="E66" s="4" t="s">
        <v>192</v>
      </c>
      <c r="F66" s="5" t="s">
        <v>37</v>
      </c>
      <c r="G66" s="4" t="s">
        <v>20</v>
      </c>
      <c r="H66" s="2" t="s">
        <v>48</v>
      </c>
      <c r="I66" s="2" t="s">
        <v>22</v>
      </c>
      <c r="J66" s="5" t="s">
        <v>97</v>
      </c>
      <c r="K66" s="5" t="s">
        <v>24</v>
      </c>
      <c r="L66" s="3" t="n">
        <v>45835</v>
      </c>
      <c r="M66" s="6" t="n">
        <f aca="false">IF(L66="","",L66-B66)</f>
        <v>24</v>
      </c>
      <c r="N66" s="7" t="n">
        <v>0</v>
      </c>
      <c r="O66" s="2" t="s">
        <v>25</v>
      </c>
    </row>
    <row r="67" customFormat="false" ht="39.55" hidden="false" customHeight="false" outlineLevel="0" collapsed="false">
      <c r="A67" s="2" t="s">
        <v>204</v>
      </c>
      <c r="B67" s="3" t="n">
        <v>45817</v>
      </c>
      <c r="C67" s="2" t="s">
        <v>16</v>
      </c>
      <c r="D67" s="2" t="s">
        <v>17</v>
      </c>
      <c r="E67" s="4" t="s">
        <v>103</v>
      </c>
      <c r="F67" s="5" t="s">
        <v>37</v>
      </c>
      <c r="G67" s="4" t="s">
        <v>20</v>
      </c>
      <c r="H67" s="2" t="s">
        <v>48</v>
      </c>
      <c r="I67" s="2" t="s">
        <v>79</v>
      </c>
      <c r="J67" s="5" t="s">
        <v>132</v>
      </c>
      <c r="K67" s="5" t="s">
        <v>44</v>
      </c>
      <c r="L67" s="3" t="n">
        <v>45841</v>
      </c>
      <c r="M67" s="6" t="n">
        <f aca="false">IF(L67="","",L67-B67)</f>
        <v>24</v>
      </c>
      <c r="N67" s="7" t="n">
        <v>0</v>
      </c>
      <c r="O67" s="2" t="s">
        <v>25</v>
      </c>
    </row>
    <row r="68" customFormat="false" ht="26.85" hidden="false" customHeight="false" outlineLevel="0" collapsed="false">
      <c r="A68" s="2" t="s">
        <v>205</v>
      </c>
      <c r="B68" s="3" t="n">
        <v>45820</v>
      </c>
      <c r="C68" s="2" t="s">
        <v>41</v>
      </c>
      <c r="D68" s="2" t="s">
        <v>51</v>
      </c>
      <c r="E68" s="4" t="s">
        <v>138</v>
      </c>
      <c r="F68" s="5" t="s">
        <v>153</v>
      </c>
      <c r="G68" s="4" t="s">
        <v>54</v>
      </c>
      <c r="H68" s="2" t="s">
        <v>38</v>
      </c>
      <c r="I68" s="2" t="s">
        <v>22</v>
      </c>
      <c r="J68" s="5" t="s">
        <v>167</v>
      </c>
      <c r="K68" s="5" t="s">
        <v>108</v>
      </c>
      <c r="L68" s="3" t="n">
        <v>45835</v>
      </c>
      <c r="M68" s="6" t="n">
        <f aca="false">IF(L68="","",L68-B68)</f>
        <v>15</v>
      </c>
      <c r="N68" s="7" t="n">
        <v>0</v>
      </c>
      <c r="O68" s="2" t="s">
        <v>25</v>
      </c>
    </row>
    <row r="69" customFormat="false" ht="26.85" hidden="false" customHeight="false" outlineLevel="0" collapsed="false">
      <c r="A69" s="2" t="s">
        <v>206</v>
      </c>
      <c r="B69" s="3" t="n">
        <v>45823</v>
      </c>
      <c r="C69" s="2" t="s">
        <v>35</v>
      </c>
      <c r="D69" s="2" t="s">
        <v>17</v>
      </c>
      <c r="E69" s="4" t="s">
        <v>78</v>
      </c>
      <c r="F69" s="5" t="s">
        <v>100</v>
      </c>
      <c r="G69" s="4" t="s">
        <v>20</v>
      </c>
      <c r="H69" s="2" t="s">
        <v>48</v>
      </c>
      <c r="I69" s="2" t="s">
        <v>22</v>
      </c>
      <c r="J69" s="5"/>
      <c r="K69" s="5"/>
      <c r="L69" s="3" t="n">
        <v>45851</v>
      </c>
      <c r="M69" s="6" t="n">
        <f aca="false">IF(L69="","",L69-B69)</f>
        <v>28</v>
      </c>
      <c r="N69" s="7" t="n">
        <v>0</v>
      </c>
      <c r="O69" s="2" t="s">
        <v>25</v>
      </c>
    </row>
    <row r="70" customFormat="false" ht="26.85" hidden="false" customHeight="false" outlineLevel="0" collapsed="false">
      <c r="A70" s="2" t="s">
        <v>207</v>
      </c>
      <c r="B70" s="3" t="n">
        <v>45825</v>
      </c>
      <c r="C70" s="2" t="s">
        <v>27</v>
      </c>
      <c r="D70" s="2" t="s">
        <v>17</v>
      </c>
      <c r="E70" s="4" t="s">
        <v>208</v>
      </c>
      <c r="F70" s="5" t="s">
        <v>100</v>
      </c>
      <c r="G70" s="4" t="s">
        <v>20</v>
      </c>
      <c r="H70" s="2" t="s">
        <v>38</v>
      </c>
      <c r="I70" s="2" t="s">
        <v>22</v>
      </c>
      <c r="J70" s="5"/>
      <c r="K70" s="5"/>
      <c r="L70" s="3" t="n">
        <v>45834</v>
      </c>
      <c r="M70" s="6" t="n">
        <f aca="false">IF(L70="","",L70-B70)</f>
        <v>9</v>
      </c>
      <c r="N70" s="7" t="n">
        <v>0</v>
      </c>
      <c r="O70" s="2" t="s">
        <v>25</v>
      </c>
    </row>
    <row r="71" customFormat="false" ht="26.85" hidden="false" customHeight="false" outlineLevel="0" collapsed="false">
      <c r="A71" s="2" t="s">
        <v>209</v>
      </c>
      <c r="B71" s="3" t="n">
        <v>45828</v>
      </c>
      <c r="C71" s="2" t="s">
        <v>41</v>
      </c>
      <c r="D71" s="2" t="s">
        <v>17</v>
      </c>
      <c r="E71" s="4" t="s">
        <v>210</v>
      </c>
      <c r="F71" s="5" t="s">
        <v>64</v>
      </c>
      <c r="G71" s="4" t="s">
        <v>20</v>
      </c>
      <c r="H71" s="2" t="s">
        <v>32</v>
      </c>
      <c r="I71" s="2" t="s">
        <v>22</v>
      </c>
      <c r="J71" s="5" t="s">
        <v>97</v>
      </c>
      <c r="K71" s="5" t="s">
        <v>24</v>
      </c>
      <c r="L71" s="3" t="n">
        <v>45840</v>
      </c>
      <c r="M71" s="6" t="n">
        <f aca="false">IF(L71="","",L71-B71)</f>
        <v>12</v>
      </c>
      <c r="N71" s="7" t="n">
        <v>0</v>
      </c>
      <c r="O71" s="2" t="s">
        <v>92</v>
      </c>
    </row>
    <row r="72" customFormat="false" ht="26.85" hidden="false" customHeight="false" outlineLevel="0" collapsed="false">
      <c r="A72" s="2" t="s">
        <v>211</v>
      </c>
      <c r="B72" s="3" t="n">
        <v>45828</v>
      </c>
      <c r="C72" s="2" t="s">
        <v>27</v>
      </c>
      <c r="D72" s="2" t="s">
        <v>28</v>
      </c>
      <c r="E72" s="4" t="s">
        <v>212</v>
      </c>
      <c r="F72" s="5" t="s">
        <v>189</v>
      </c>
      <c r="G72" s="4" t="s">
        <v>31</v>
      </c>
      <c r="H72" s="2" t="s">
        <v>48</v>
      </c>
      <c r="I72" s="2" t="s">
        <v>22</v>
      </c>
      <c r="J72" s="5"/>
      <c r="K72" s="5"/>
      <c r="L72" s="3" t="n">
        <v>45833</v>
      </c>
      <c r="M72" s="6" t="n">
        <f aca="false">IF(L72="","",L72-B72)</f>
        <v>5</v>
      </c>
      <c r="N72" s="7" t="n">
        <v>0</v>
      </c>
      <c r="O72" s="2" t="s">
        <v>92</v>
      </c>
    </row>
    <row r="73" customFormat="false" ht="39.55" hidden="false" customHeight="false" outlineLevel="0" collapsed="false">
      <c r="A73" s="2" t="s">
        <v>213</v>
      </c>
      <c r="B73" s="3" t="n">
        <v>45830</v>
      </c>
      <c r="C73" s="2" t="s">
        <v>16</v>
      </c>
      <c r="D73" s="2" t="s">
        <v>17</v>
      </c>
      <c r="E73" s="4" t="s">
        <v>107</v>
      </c>
      <c r="F73" s="5" t="s">
        <v>214</v>
      </c>
      <c r="G73" s="4" t="s">
        <v>20</v>
      </c>
      <c r="H73" s="2" t="s">
        <v>48</v>
      </c>
      <c r="I73" s="2" t="s">
        <v>22</v>
      </c>
      <c r="J73" s="5" t="s">
        <v>23</v>
      </c>
      <c r="K73" s="5" t="s">
        <v>74</v>
      </c>
      <c r="L73" s="3" t="n">
        <v>45835</v>
      </c>
      <c r="M73" s="6" t="n">
        <f aca="false">IF(L73="","",L73-B73)</f>
        <v>5</v>
      </c>
      <c r="N73" s="7" t="n">
        <v>831000</v>
      </c>
      <c r="O73" s="2" t="s">
        <v>25</v>
      </c>
    </row>
    <row r="74" customFormat="false" ht="26.85" hidden="false" customHeight="false" outlineLevel="0" collapsed="false">
      <c r="A74" s="2" t="s">
        <v>215</v>
      </c>
      <c r="B74" s="3" t="n">
        <v>45835</v>
      </c>
      <c r="C74" s="2" t="s">
        <v>35</v>
      </c>
      <c r="D74" s="2" t="s">
        <v>28</v>
      </c>
      <c r="E74" s="4" t="s">
        <v>157</v>
      </c>
      <c r="F74" s="5" t="s">
        <v>47</v>
      </c>
      <c r="G74" s="4" t="s">
        <v>31</v>
      </c>
      <c r="H74" s="2" t="s">
        <v>38</v>
      </c>
      <c r="I74" s="2" t="s">
        <v>22</v>
      </c>
      <c r="J74" s="5"/>
      <c r="K74" s="5"/>
      <c r="L74" s="3" t="n">
        <v>45838</v>
      </c>
      <c r="M74" s="6" t="n">
        <f aca="false">IF(L74="","",L74-B74)</f>
        <v>3</v>
      </c>
      <c r="N74" s="7" t="n">
        <v>0</v>
      </c>
      <c r="O74" s="2" t="s">
        <v>25</v>
      </c>
    </row>
    <row r="75" customFormat="false" ht="26.85" hidden="false" customHeight="false" outlineLevel="0" collapsed="false">
      <c r="A75" s="2" t="s">
        <v>216</v>
      </c>
      <c r="B75" s="3" t="n">
        <v>45840</v>
      </c>
      <c r="C75" s="2" t="s">
        <v>16</v>
      </c>
      <c r="D75" s="2" t="s">
        <v>17</v>
      </c>
      <c r="E75" s="4" t="s">
        <v>217</v>
      </c>
      <c r="F75" s="5" t="s">
        <v>37</v>
      </c>
      <c r="G75" s="4" t="s">
        <v>20</v>
      </c>
      <c r="H75" s="2" t="s">
        <v>48</v>
      </c>
      <c r="I75" s="2" t="s">
        <v>79</v>
      </c>
      <c r="J75" s="5" t="s">
        <v>132</v>
      </c>
      <c r="K75" s="5" t="s">
        <v>24</v>
      </c>
      <c r="L75" s="3" t="n">
        <v>45847</v>
      </c>
      <c r="M75" s="6" t="n">
        <f aca="false">IF(L75="","",L75-B75)</f>
        <v>7</v>
      </c>
      <c r="N75" s="7" t="n">
        <v>595000</v>
      </c>
      <c r="O75" s="2" t="s">
        <v>25</v>
      </c>
    </row>
    <row r="76" customFormat="false" ht="26.85" hidden="false" customHeight="false" outlineLevel="0" collapsed="false">
      <c r="A76" s="2" t="s">
        <v>218</v>
      </c>
      <c r="B76" s="3" t="n">
        <v>45843</v>
      </c>
      <c r="C76" s="2" t="s">
        <v>41</v>
      </c>
      <c r="D76" s="2" t="s">
        <v>17</v>
      </c>
      <c r="E76" s="4" t="s">
        <v>181</v>
      </c>
      <c r="F76" s="5" t="s">
        <v>199</v>
      </c>
      <c r="G76" s="4" t="s">
        <v>20</v>
      </c>
      <c r="H76" s="2" t="s">
        <v>48</v>
      </c>
      <c r="I76" s="2" t="s">
        <v>39</v>
      </c>
      <c r="J76" s="5" t="s">
        <v>132</v>
      </c>
      <c r="K76" s="5"/>
      <c r="L76" s="3"/>
      <c r="M76" s="6" t="str">
        <f aca="false">IF(L76="","",L76-B76)</f>
        <v/>
      </c>
      <c r="N76" s="7" t="n">
        <v>0</v>
      </c>
      <c r="O76" s="2" t="s">
        <v>25</v>
      </c>
    </row>
    <row r="77" customFormat="false" ht="26.85" hidden="false" customHeight="false" outlineLevel="0" collapsed="false">
      <c r="A77" s="2" t="s">
        <v>219</v>
      </c>
      <c r="B77" s="3" t="n">
        <v>45845</v>
      </c>
      <c r="C77" s="2" t="s">
        <v>16</v>
      </c>
      <c r="D77" s="2" t="s">
        <v>51</v>
      </c>
      <c r="E77" s="4" t="s">
        <v>220</v>
      </c>
      <c r="F77" s="5" t="s">
        <v>178</v>
      </c>
      <c r="G77" s="4" t="s">
        <v>54</v>
      </c>
      <c r="H77" s="2" t="s">
        <v>48</v>
      </c>
      <c r="I77" s="2" t="s">
        <v>22</v>
      </c>
      <c r="J77" s="5" t="s">
        <v>167</v>
      </c>
      <c r="K77" s="5" t="s">
        <v>108</v>
      </c>
      <c r="L77" s="3" t="n">
        <v>45871</v>
      </c>
      <c r="M77" s="6" t="n">
        <f aca="false">IF(L77="","",L77-B77)</f>
        <v>26</v>
      </c>
      <c r="N77" s="7" t="n">
        <v>995000</v>
      </c>
      <c r="O77" s="2" t="s">
        <v>25</v>
      </c>
    </row>
    <row r="78" customFormat="false" ht="26.85" hidden="false" customHeight="false" outlineLevel="0" collapsed="false">
      <c r="A78" s="2" t="s">
        <v>221</v>
      </c>
      <c r="B78" s="3" t="n">
        <v>45852</v>
      </c>
      <c r="C78" s="2" t="s">
        <v>27</v>
      </c>
      <c r="D78" s="2" t="s">
        <v>51</v>
      </c>
      <c r="E78" s="4" t="s">
        <v>138</v>
      </c>
      <c r="F78" s="5" t="s">
        <v>53</v>
      </c>
      <c r="G78" s="4" t="s">
        <v>54</v>
      </c>
      <c r="H78" s="2" t="s">
        <v>32</v>
      </c>
      <c r="I78" s="2" t="s">
        <v>79</v>
      </c>
      <c r="J78" s="5"/>
      <c r="K78" s="5"/>
      <c r="L78" s="3" t="n">
        <v>45858</v>
      </c>
      <c r="M78" s="6" t="n">
        <f aca="false">IF(L78="","",L78-B78)</f>
        <v>6</v>
      </c>
      <c r="N78" s="7" t="n">
        <v>0</v>
      </c>
      <c r="O78" s="2" t="s">
        <v>25</v>
      </c>
    </row>
    <row r="79" customFormat="false" ht="26.85" hidden="false" customHeight="false" outlineLevel="0" collapsed="false">
      <c r="A79" s="2" t="s">
        <v>222</v>
      </c>
      <c r="B79" s="3" t="n">
        <v>45854</v>
      </c>
      <c r="C79" s="2" t="s">
        <v>16</v>
      </c>
      <c r="D79" s="2" t="s">
        <v>58</v>
      </c>
      <c r="E79" s="4" t="s">
        <v>223</v>
      </c>
      <c r="F79" s="5" t="s">
        <v>113</v>
      </c>
      <c r="G79" s="4" t="s">
        <v>61</v>
      </c>
      <c r="H79" s="2" t="s">
        <v>21</v>
      </c>
      <c r="I79" s="2" t="s">
        <v>79</v>
      </c>
      <c r="J79" s="5" t="s">
        <v>224</v>
      </c>
      <c r="K79" s="5" t="s">
        <v>182</v>
      </c>
      <c r="L79" s="3" t="n">
        <v>45856</v>
      </c>
      <c r="M79" s="6" t="n">
        <f aca="false">IF(L79="","",L79-B79)</f>
        <v>2</v>
      </c>
      <c r="N79" s="7" t="n">
        <v>0</v>
      </c>
      <c r="O79" s="2" t="s">
        <v>25</v>
      </c>
    </row>
    <row r="80" customFormat="false" ht="26.85" hidden="false" customHeight="false" outlineLevel="0" collapsed="false">
      <c r="A80" s="2" t="s">
        <v>225</v>
      </c>
      <c r="B80" s="3" t="n">
        <v>45856</v>
      </c>
      <c r="C80" s="2" t="s">
        <v>41</v>
      </c>
      <c r="D80" s="2" t="s">
        <v>58</v>
      </c>
      <c r="E80" s="4" t="s">
        <v>226</v>
      </c>
      <c r="F80" s="5" t="s">
        <v>227</v>
      </c>
      <c r="G80" s="4" t="s">
        <v>61</v>
      </c>
      <c r="H80" s="2" t="s">
        <v>48</v>
      </c>
      <c r="I80" s="2" t="s">
        <v>22</v>
      </c>
      <c r="J80" s="5" t="s">
        <v>128</v>
      </c>
      <c r="K80" s="5" t="s">
        <v>115</v>
      </c>
      <c r="L80" s="3" t="n">
        <v>45886</v>
      </c>
      <c r="M80" s="6" t="n">
        <f aca="false">IF(L80="","",L80-B80)</f>
        <v>30</v>
      </c>
      <c r="N80" s="7" t="n">
        <v>0</v>
      </c>
      <c r="O80" s="2" t="s">
        <v>25</v>
      </c>
    </row>
    <row r="81" customFormat="false" ht="26.85" hidden="false" customHeight="false" outlineLevel="0" collapsed="false">
      <c r="A81" s="2" t="s">
        <v>228</v>
      </c>
      <c r="B81" s="3" t="n">
        <v>45859</v>
      </c>
      <c r="C81" s="2" t="s">
        <v>27</v>
      </c>
      <c r="D81" s="2" t="s">
        <v>17</v>
      </c>
      <c r="E81" s="4" t="s">
        <v>117</v>
      </c>
      <c r="F81" s="5" t="s">
        <v>122</v>
      </c>
      <c r="G81" s="4" t="s">
        <v>20</v>
      </c>
      <c r="H81" s="2" t="s">
        <v>21</v>
      </c>
      <c r="I81" s="2" t="s">
        <v>22</v>
      </c>
      <c r="J81" s="5"/>
      <c r="K81" s="5"/>
      <c r="L81" s="3" t="n">
        <v>45862</v>
      </c>
      <c r="M81" s="6" t="n">
        <f aca="false">IF(L81="","",L81-B81)</f>
        <v>3</v>
      </c>
      <c r="N81" s="7" t="n">
        <v>0</v>
      </c>
      <c r="O81" s="2" t="s">
        <v>25</v>
      </c>
    </row>
    <row r="82" customFormat="false" ht="39.55" hidden="false" customHeight="false" outlineLevel="0" collapsed="false">
      <c r="A82" s="2" t="s">
        <v>229</v>
      </c>
      <c r="B82" s="3" t="n">
        <v>45861</v>
      </c>
      <c r="C82" s="2" t="s">
        <v>16</v>
      </c>
      <c r="D82" s="2" t="s">
        <v>17</v>
      </c>
      <c r="E82" s="4" t="s">
        <v>144</v>
      </c>
      <c r="F82" s="5" t="s">
        <v>37</v>
      </c>
      <c r="G82" s="4" t="s">
        <v>20</v>
      </c>
      <c r="H82" s="2" t="s">
        <v>21</v>
      </c>
      <c r="I82" s="2" t="s">
        <v>79</v>
      </c>
      <c r="J82" s="5" t="s">
        <v>97</v>
      </c>
      <c r="K82" s="5" t="s">
        <v>101</v>
      </c>
      <c r="L82" s="3" t="n">
        <v>45881</v>
      </c>
      <c r="M82" s="6" t="n">
        <f aca="false">IF(L82="","",L82-B82)</f>
        <v>20</v>
      </c>
      <c r="N82" s="7" t="n">
        <v>377000</v>
      </c>
      <c r="O82" s="2" t="s">
        <v>25</v>
      </c>
    </row>
    <row r="83" customFormat="false" ht="26.85" hidden="false" customHeight="false" outlineLevel="0" collapsed="false">
      <c r="A83" s="2" t="s">
        <v>230</v>
      </c>
      <c r="B83" s="3" t="n">
        <v>45861</v>
      </c>
      <c r="C83" s="2" t="s">
        <v>16</v>
      </c>
      <c r="D83" s="2" t="s">
        <v>28</v>
      </c>
      <c r="E83" s="4" t="s">
        <v>197</v>
      </c>
      <c r="F83" s="5" t="s">
        <v>47</v>
      </c>
      <c r="G83" s="4" t="s">
        <v>31</v>
      </c>
      <c r="H83" s="2" t="s">
        <v>48</v>
      </c>
      <c r="I83" s="2" t="s">
        <v>22</v>
      </c>
      <c r="J83" s="5" t="s">
        <v>142</v>
      </c>
      <c r="K83" s="5" t="s">
        <v>231</v>
      </c>
      <c r="L83" s="3" t="n">
        <v>45888</v>
      </c>
      <c r="M83" s="6" t="n">
        <f aca="false">IF(L83="","",L83-B83)</f>
        <v>27</v>
      </c>
      <c r="N83" s="7" t="n">
        <v>0</v>
      </c>
      <c r="O83" s="2" t="s">
        <v>25</v>
      </c>
    </row>
    <row r="84" customFormat="false" ht="39.55" hidden="false" customHeight="false" outlineLevel="0" collapsed="false">
      <c r="A84" s="2" t="s">
        <v>232</v>
      </c>
      <c r="B84" s="3" t="n">
        <v>45862</v>
      </c>
      <c r="C84" s="2" t="s">
        <v>16</v>
      </c>
      <c r="D84" s="2" t="s">
        <v>51</v>
      </c>
      <c r="E84" s="4" t="s">
        <v>42</v>
      </c>
      <c r="F84" s="5" t="s">
        <v>153</v>
      </c>
      <c r="G84" s="4" t="s">
        <v>54</v>
      </c>
      <c r="H84" s="2" t="s">
        <v>21</v>
      </c>
      <c r="I84" s="2" t="s">
        <v>79</v>
      </c>
      <c r="J84" s="5" t="s">
        <v>167</v>
      </c>
      <c r="K84" s="5" t="s">
        <v>105</v>
      </c>
      <c r="L84" s="3" t="n">
        <v>45874</v>
      </c>
      <c r="M84" s="6" t="n">
        <f aca="false">IF(L84="","",L84-B84)</f>
        <v>12</v>
      </c>
      <c r="N84" s="7" t="n">
        <v>0</v>
      </c>
      <c r="O84" s="2" t="s">
        <v>25</v>
      </c>
    </row>
    <row r="85" customFormat="false" ht="39.55" hidden="false" customHeight="false" outlineLevel="0" collapsed="false">
      <c r="A85" s="2" t="s">
        <v>233</v>
      </c>
      <c r="B85" s="3" t="n">
        <v>45863</v>
      </c>
      <c r="C85" s="2" t="s">
        <v>16</v>
      </c>
      <c r="D85" s="2" t="s">
        <v>17</v>
      </c>
      <c r="E85" s="4" t="s">
        <v>234</v>
      </c>
      <c r="F85" s="5" t="s">
        <v>100</v>
      </c>
      <c r="G85" s="4" t="s">
        <v>20</v>
      </c>
      <c r="H85" s="2" t="s">
        <v>21</v>
      </c>
      <c r="I85" s="2" t="s">
        <v>22</v>
      </c>
      <c r="J85" s="5" t="s">
        <v>132</v>
      </c>
      <c r="K85" s="5" t="s">
        <v>101</v>
      </c>
      <c r="L85" s="3" t="n">
        <v>45882</v>
      </c>
      <c r="M85" s="6" t="n">
        <f aca="false">IF(L85="","",L85-B85)</f>
        <v>19</v>
      </c>
      <c r="N85" s="7" t="n">
        <v>0</v>
      </c>
      <c r="O85" s="2" t="s">
        <v>25</v>
      </c>
    </row>
    <row r="86" customFormat="false" ht="39.55" hidden="false" customHeight="false" outlineLevel="0" collapsed="false">
      <c r="A86" s="2" t="s">
        <v>235</v>
      </c>
      <c r="B86" s="3" t="n">
        <v>45865</v>
      </c>
      <c r="C86" s="2" t="s">
        <v>41</v>
      </c>
      <c r="D86" s="2" t="s">
        <v>17</v>
      </c>
      <c r="E86" s="4" t="s">
        <v>169</v>
      </c>
      <c r="F86" s="5" t="s">
        <v>122</v>
      </c>
      <c r="G86" s="4" t="s">
        <v>20</v>
      </c>
      <c r="H86" s="2" t="s">
        <v>48</v>
      </c>
      <c r="I86" s="2" t="s">
        <v>22</v>
      </c>
      <c r="J86" s="5" t="s">
        <v>97</v>
      </c>
      <c r="K86" s="5" t="s">
        <v>101</v>
      </c>
      <c r="L86" s="3" t="n">
        <v>45884</v>
      </c>
      <c r="M86" s="6" t="n">
        <f aca="false">IF(L86="","",L86-B86)</f>
        <v>19</v>
      </c>
      <c r="N86" s="7" t="n">
        <v>0</v>
      </c>
      <c r="O86" s="2" t="s">
        <v>25</v>
      </c>
    </row>
    <row r="87" customFormat="false" ht="39.55" hidden="false" customHeight="false" outlineLevel="0" collapsed="false">
      <c r="A87" s="2" t="s">
        <v>236</v>
      </c>
      <c r="B87" s="3" t="n">
        <v>45869</v>
      </c>
      <c r="C87" s="2" t="s">
        <v>41</v>
      </c>
      <c r="D87" s="2" t="s">
        <v>17</v>
      </c>
      <c r="E87" s="4" t="s">
        <v>165</v>
      </c>
      <c r="F87" s="5" t="s">
        <v>214</v>
      </c>
      <c r="G87" s="4" t="s">
        <v>20</v>
      </c>
      <c r="H87" s="2" t="s">
        <v>32</v>
      </c>
      <c r="I87" s="2" t="s">
        <v>22</v>
      </c>
      <c r="J87" s="5" t="s">
        <v>43</v>
      </c>
      <c r="K87" s="5" t="s">
        <v>44</v>
      </c>
      <c r="L87" s="3" t="n">
        <v>45895</v>
      </c>
      <c r="M87" s="6" t="n">
        <f aca="false">IF(L87="","",L87-B87)</f>
        <v>26</v>
      </c>
      <c r="N87" s="7" t="n">
        <v>0</v>
      </c>
      <c r="O87" s="2" t="s">
        <v>25</v>
      </c>
    </row>
    <row r="88" customFormat="false" ht="26.85" hidden="false" customHeight="false" outlineLevel="0" collapsed="false">
      <c r="A88" s="2" t="s">
        <v>237</v>
      </c>
      <c r="B88" s="3" t="n">
        <v>45871</v>
      </c>
      <c r="C88" s="2" t="s">
        <v>16</v>
      </c>
      <c r="D88" s="2" t="s">
        <v>58</v>
      </c>
      <c r="E88" s="4" t="s">
        <v>238</v>
      </c>
      <c r="F88" s="5" t="s">
        <v>113</v>
      </c>
      <c r="G88" s="4" t="s">
        <v>61</v>
      </c>
      <c r="H88" s="2" t="s">
        <v>48</v>
      </c>
      <c r="I88" s="2" t="s">
        <v>22</v>
      </c>
      <c r="J88" s="5" t="s">
        <v>128</v>
      </c>
      <c r="K88" s="5" t="s">
        <v>182</v>
      </c>
      <c r="L88" s="3" t="n">
        <v>45894</v>
      </c>
      <c r="M88" s="6" t="n">
        <f aca="false">IF(L88="","",L88-B88)</f>
        <v>23</v>
      </c>
      <c r="N88" s="7" t="n">
        <v>0</v>
      </c>
      <c r="O88" s="2" t="s">
        <v>25</v>
      </c>
    </row>
    <row r="89" customFormat="false" ht="26.85" hidden="false" customHeight="false" outlineLevel="0" collapsed="false">
      <c r="A89" s="2" t="s">
        <v>239</v>
      </c>
      <c r="B89" s="3" t="n">
        <v>45872</v>
      </c>
      <c r="C89" s="2" t="s">
        <v>16</v>
      </c>
      <c r="D89" s="2" t="s">
        <v>58</v>
      </c>
      <c r="E89" s="4" t="s">
        <v>240</v>
      </c>
      <c r="F89" s="5" t="s">
        <v>113</v>
      </c>
      <c r="G89" s="4" t="s">
        <v>61</v>
      </c>
      <c r="H89" s="2" t="s">
        <v>21</v>
      </c>
      <c r="I89" s="2" t="s">
        <v>22</v>
      </c>
      <c r="J89" s="5" t="s">
        <v>224</v>
      </c>
      <c r="K89" s="5" t="s">
        <v>182</v>
      </c>
      <c r="L89" s="3" t="n">
        <v>45887</v>
      </c>
      <c r="M89" s="6" t="n">
        <f aca="false">IF(L89="","",L89-B89)</f>
        <v>15</v>
      </c>
      <c r="N89" s="7" t="n">
        <v>0</v>
      </c>
      <c r="O89" s="2" t="s">
        <v>25</v>
      </c>
    </row>
    <row r="90" customFormat="false" ht="39.55" hidden="false" customHeight="false" outlineLevel="0" collapsed="false">
      <c r="A90" s="2" t="s">
        <v>241</v>
      </c>
      <c r="B90" s="3" t="n">
        <v>45874</v>
      </c>
      <c r="C90" s="2" t="s">
        <v>16</v>
      </c>
      <c r="D90" s="2" t="s">
        <v>51</v>
      </c>
      <c r="E90" s="4" t="s">
        <v>242</v>
      </c>
      <c r="F90" s="5" t="s">
        <v>104</v>
      </c>
      <c r="G90" s="4" t="s">
        <v>54</v>
      </c>
      <c r="H90" s="2" t="s">
        <v>48</v>
      </c>
      <c r="I90" s="2" t="s">
        <v>79</v>
      </c>
      <c r="J90" s="5" t="s">
        <v>167</v>
      </c>
      <c r="K90" s="5" t="s">
        <v>105</v>
      </c>
      <c r="L90" s="3" t="n">
        <v>45882</v>
      </c>
      <c r="M90" s="6" t="n">
        <f aca="false">IF(L90="","",L90-B90)</f>
        <v>8</v>
      </c>
      <c r="N90" s="7" t="n">
        <v>0</v>
      </c>
      <c r="O90" s="2" t="s">
        <v>25</v>
      </c>
    </row>
    <row r="91" customFormat="false" ht="39.55" hidden="false" customHeight="false" outlineLevel="0" collapsed="false">
      <c r="A91" s="2" t="s">
        <v>243</v>
      </c>
      <c r="B91" s="3" t="n">
        <v>45878</v>
      </c>
      <c r="C91" s="2" t="s">
        <v>16</v>
      </c>
      <c r="D91" s="2" t="s">
        <v>51</v>
      </c>
      <c r="E91" s="4" t="s">
        <v>244</v>
      </c>
      <c r="F91" s="5" t="s">
        <v>135</v>
      </c>
      <c r="G91" s="4" t="s">
        <v>54</v>
      </c>
      <c r="H91" s="2" t="s">
        <v>21</v>
      </c>
      <c r="I91" s="2" t="s">
        <v>22</v>
      </c>
      <c r="J91" s="5" t="s">
        <v>167</v>
      </c>
      <c r="K91" s="5" t="s">
        <v>105</v>
      </c>
      <c r="L91" s="3" t="n">
        <v>45883</v>
      </c>
      <c r="M91" s="6" t="n">
        <f aca="false">IF(L91="","",L91-B91)</f>
        <v>5</v>
      </c>
      <c r="N91" s="7" t="n">
        <v>0</v>
      </c>
      <c r="O91" s="2" t="s">
        <v>25</v>
      </c>
    </row>
    <row r="92" customFormat="false" ht="26.85" hidden="false" customHeight="false" outlineLevel="0" collapsed="false">
      <c r="A92" s="2" t="s">
        <v>245</v>
      </c>
      <c r="B92" s="3" t="n">
        <v>45882</v>
      </c>
      <c r="C92" s="2" t="s">
        <v>41</v>
      </c>
      <c r="D92" s="2" t="s">
        <v>28</v>
      </c>
      <c r="E92" s="4" t="s">
        <v>246</v>
      </c>
      <c r="F92" s="5" t="s">
        <v>47</v>
      </c>
      <c r="G92" s="4" t="s">
        <v>31</v>
      </c>
      <c r="H92" s="2" t="s">
        <v>48</v>
      </c>
      <c r="I92" s="2" t="s">
        <v>22</v>
      </c>
      <c r="J92" s="5" t="s">
        <v>142</v>
      </c>
      <c r="K92" s="5" t="s">
        <v>231</v>
      </c>
      <c r="L92" s="3" t="n">
        <v>45896</v>
      </c>
      <c r="M92" s="6" t="n">
        <f aca="false">IF(L92="","",L92-B92)</f>
        <v>14</v>
      </c>
      <c r="N92" s="7" t="n">
        <v>0</v>
      </c>
      <c r="O92" s="2" t="s">
        <v>25</v>
      </c>
    </row>
    <row r="93" customFormat="false" ht="39.55" hidden="false" customHeight="false" outlineLevel="0" collapsed="false">
      <c r="A93" s="2" t="s">
        <v>247</v>
      </c>
      <c r="B93" s="3" t="n">
        <v>45882</v>
      </c>
      <c r="C93" s="2" t="s">
        <v>41</v>
      </c>
      <c r="D93" s="2" t="s">
        <v>17</v>
      </c>
      <c r="E93" s="4" t="s">
        <v>248</v>
      </c>
      <c r="F93" s="5" t="s">
        <v>122</v>
      </c>
      <c r="G93" s="4" t="s">
        <v>20</v>
      </c>
      <c r="H93" s="2" t="s">
        <v>32</v>
      </c>
      <c r="I93" s="2" t="s">
        <v>22</v>
      </c>
      <c r="J93" s="5" t="s">
        <v>97</v>
      </c>
      <c r="K93" s="5" t="s">
        <v>44</v>
      </c>
      <c r="L93" s="3" t="n">
        <v>45900</v>
      </c>
      <c r="M93" s="6" t="n">
        <f aca="false">IF(L93="","",L93-B93)</f>
        <v>18</v>
      </c>
      <c r="N93" s="7" t="n">
        <v>293000</v>
      </c>
      <c r="O93" s="2" t="s">
        <v>25</v>
      </c>
    </row>
    <row r="94" customFormat="false" ht="26.85" hidden="false" customHeight="false" outlineLevel="0" collapsed="false">
      <c r="A94" s="2" t="s">
        <v>249</v>
      </c>
      <c r="B94" s="3" t="n">
        <v>45884</v>
      </c>
      <c r="C94" s="2" t="s">
        <v>41</v>
      </c>
      <c r="D94" s="2" t="s">
        <v>28</v>
      </c>
      <c r="E94" s="4" t="s">
        <v>250</v>
      </c>
      <c r="F94" s="5" t="s">
        <v>86</v>
      </c>
      <c r="G94" s="4" t="s">
        <v>31</v>
      </c>
      <c r="H94" s="2" t="s">
        <v>48</v>
      </c>
      <c r="I94" s="2" t="s">
        <v>39</v>
      </c>
      <c r="J94" s="5" t="s">
        <v>49</v>
      </c>
      <c r="K94" s="5"/>
      <c r="L94" s="3"/>
      <c r="M94" s="6" t="str">
        <f aca="false">IF(L94="","",L94-B94)</f>
        <v/>
      </c>
      <c r="N94" s="7" t="n">
        <v>0</v>
      </c>
      <c r="O94" s="2" t="s">
        <v>25</v>
      </c>
    </row>
    <row r="95" customFormat="false" ht="26.85" hidden="false" customHeight="false" outlineLevel="0" collapsed="false">
      <c r="A95" s="2" t="s">
        <v>251</v>
      </c>
      <c r="B95" s="3" t="n">
        <v>45885</v>
      </c>
      <c r="C95" s="2" t="s">
        <v>16</v>
      </c>
      <c r="D95" s="2" t="s">
        <v>17</v>
      </c>
      <c r="E95" s="4" t="s">
        <v>252</v>
      </c>
      <c r="F95" s="5" t="s">
        <v>122</v>
      </c>
      <c r="G95" s="4" t="s">
        <v>20</v>
      </c>
      <c r="H95" s="2" t="s">
        <v>38</v>
      </c>
      <c r="I95" s="2" t="s">
        <v>22</v>
      </c>
      <c r="J95" s="5" t="s">
        <v>43</v>
      </c>
      <c r="K95" s="5" t="s">
        <v>24</v>
      </c>
      <c r="L95" s="3" t="n">
        <v>45900</v>
      </c>
      <c r="M95" s="6" t="n">
        <f aca="false">IF(L95="","",L95-B95)</f>
        <v>15</v>
      </c>
      <c r="N95" s="7" t="n">
        <v>0</v>
      </c>
      <c r="O95" s="2" t="s">
        <v>25</v>
      </c>
    </row>
    <row r="96" customFormat="false" ht="39.55" hidden="false" customHeight="false" outlineLevel="0" collapsed="false">
      <c r="A96" s="2" t="s">
        <v>253</v>
      </c>
      <c r="B96" s="3" t="n">
        <v>45889</v>
      </c>
      <c r="C96" s="2" t="s">
        <v>41</v>
      </c>
      <c r="D96" s="2" t="s">
        <v>58</v>
      </c>
      <c r="E96" s="4" t="s">
        <v>96</v>
      </c>
      <c r="F96" s="5" t="s">
        <v>127</v>
      </c>
      <c r="G96" s="4" t="s">
        <v>61</v>
      </c>
      <c r="H96" s="2" t="s">
        <v>48</v>
      </c>
      <c r="I96" s="2" t="s">
        <v>79</v>
      </c>
      <c r="J96" s="5" t="s">
        <v>224</v>
      </c>
      <c r="K96" s="5" t="s">
        <v>129</v>
      </c>
      <c r="L96" s="3" t="n">
        <v>45900</v>
      </c>
      <c r="M96" s="6" t="n">
        <f aca="false">IF(L96="","",L96-B96)</f>
        <v>11</v>
      </c>
      <c r="N96" s="7" t="n">
        <v>0</v>
      </c>
      <c r="O96" s="2" t="s">
        <v>25</v>
      </c>
    </row>
    <row r="97" customFormat="false" ht="26.85" hidden="false" customHeight="false" outlineLevel="0" collapsed="false">
      <c r="A97" s="2" t="s">
        <v>254</v>
      </c>
      <c r="B97" s="3" t="n">
        <v>45892</v>
      </c>
      <c r="C97" s="2" t="s">
        <v>27</v>
      </c>
      <c r="D97" s="2" t="s">
        <v>17</v>
      </c>
      <c r="E97" s="4" t="s">
        <v>151</v>
      </c>
      <c r="F97" s="5" t="s">
        <v>37</v>
      </c>
      <c r="G97" s="4" t="s">
        <v>20</v>
      </c>
      <c r="H97" s="2" t="s">
        <v>48</v>
      </c>
      <c r="I97" s="2" t="s">
        <v>79</v>
      </c>
      <c r="J97" s="5"/>
      <c r="K97" s="5"/>
      <c r="L97" s="3" t="n">
        <v>45900</v>
      </c>
      <c r="M97" s="6" t="n">
        <f aca="false">IF(L97="","",L97-B97)</f>
        <v>8</v>
      </c>
      <c r="N97" s="7" t="n">
        <v>0</v>
      </c>
      <c r="O97" s="2" t="s">
        <v>25</v>
      </c>
    </row>
    <row r="98" customFormat="false" ht="39.55" hidden="false" customHeight="false" outlineLevel="0" collapsed="false">
      <c r="A98" s="2" t="s">
        <v>255</v>
      </c>
      <c r="B98" s="3" t="n">
        <v>45894</v>
      </c>
      <c r="C98" s="2" t="s">
        <v>41</v>
      </c>
      <c r="D98" s="2" t="s">
        <v>17</v>
      </c>
      <c r="E98" s="4" t="s">
        <v>76</v>
      </c>
      <c r="F98" s="5" t="s">
        <v>37</v>
      </c>
      <c r="G98" s="4" t="s">
        <v>20</v>
      </c>
      <c r="H98" s="2" t="s">
        <v>38</v>
      </c>
      <c r="I98" s="2" t="s">
        <v>22</v>
      </c>
      <c r="J98" s="5" t="s">
        <v>132</v>
      </c>
      <c r="K98" s="5" t="s">
        <v>44</v>
      </c>
      <c r="L98" s="3" t="n">
        <v>45900</v>
      </c>
      <c r="M98" s="6" t="n">
        <f aca="false">IF(L98="","",L98-B98)</f>
        <v>6</v>
      </c>
      <c r="N98" s="7" t="n">
        <v>1323000</v>
      </c>
      <c r="O98" s="2" t="s">
        <v>25</v>
      </c>
    </row>
    <row r="99" customFormat="false" ht="39.55" hidden="false" customHeight="false" outlineLevel="0" collapsed="false">
      <c r="A99" s="2" t="s">
        <v>256</v>
      </c>
      <c r="B99" s="3" t="n">
        <v>45895</v>
      </c>
      <c r="C99" s="2" t="s">
        <v>41</v>
      </c>
      <c r="D99" s="2" t="s">
        <v>17</v>
      </c>
      <c r="E99" s="4" t="s">
        <v>257</v>
      </c>
      <c r="F99" s="5" t="s">
        <v>100</v>
      </c>
      <c r="G99" s="4" t="s">
        <v>20</v>
      </c>
      <c r="H99" s="2" t="s">
        <v>48</v>
      </c>
      <c r="I99" s="2" t="s">
        <v>22</v>
      </c>
      <c r="J99" s="5" t="s">
        <v>43</v>
      </c>
      <c r="K99" s="5" t="s">
        <v>74</v>
      </c>
      <c r="L99" s="3" t="n">
        <v>45900</v>
      </c>
      <c r="M99" s="6" t="n">
        <f aca="false">IF(L99="","",L99-B99)</f>
        <v>5</v>
      </c>
      <c r="N99" s="7" t="n">
        <v>490000</v>
      </c>
      <c r="O99" s="2" t="s">
        <v>25</v>
      </c>
    </row>
    <row r="100" customFormat="false" ht="39.55" hidden="false" customHeight="false" outlineLevel="0" collapsed="false">
      <c r="A100" s="2" t="s">
        <v>258</v>
      </c>
      <c r="B100" s="3" t="n">
        <v>45899</v>
      </c>
      <c r="C100" s="2" t="s">
        <v>16</v>
      </c>
      <c r="D100" s="2" t="s">
        <v>17</v>
      </c>
      <c r="E100" s="4" t="s">
        <v>78</v>
      </c>
      <c r="F100" s="5" t="s">
        <v>19</v>
      </c>
      <c r="G100" s="4" t="s">
        <v>20</v>
      </c>
      <c r="H100" s="2" t="s">
        <v>48</v>
      </c>
      <c r="I100" s="2" t="s">
        <v>22</v>
      </c>
      <c r="J100" s="5" t="s">
        <v>23</v>
      </c>
      <c r="K100" s="5" t="s">
        <v>101</v>
      </c>
      <c r="L100" s="3" t="n">
        <v>45900</v>
      </c>
      <c r="M100" s="6" t="n">
        <f aca="false">IF(L100="","",L100-B100)</f>
        <v>1</v>
      </c>
      <c r="N100" s="7" t="n">
        <v>0</v>
      </c>
      <c r="O100" s="2" t="s">
        <v>25</v>
      </c>
    </row>
    <row r="101" customFormat="false" ht="26.85" hidden="false" customHeight="false" outlineLevel="0" collapsed="false">
      <c r="A101" s="2" t="s">
        <v>259</v>
      </c>
      <c r="B101" s="3" t="n">
        <v>45899</v>
      </c>
      <c r="C101" s="2" t="s">
        <v>27</v>
      </c>
      <c r="D101" s="2" t="s">
        <v>28</v>
      </c>
      <c r="E101" s="4" t="s">
        <v>260</v>
      </c>
      <c r="F101" s="5" t="s">
        <v>86</v>
      </c>
      <c r="G101" s="4" t="s">
        <v>31</v>
      </c>
      <c r="H101" s="2" t="s">
        <v>21</v>
      </c>
      <c r="I101" s="2" t="s">
        <v>22</v>
      </c>
      <c r="J101" s="5"/>
      <c r="K101" s="5"/>
      <c r="L101" s="3" t="n">
        <v>45900</v>
      </c>
      <c r="M101" s="6" t="n">
        <f aca="false">IF(L101="","",L101-B101)</f>
        <v>1</v>
      </c>
      <c r="N101" s="7" t="n">
        <v>0</v>
      </c>
      <c r="O101" s="2" t="s">
        <v>25</v>
      </c>
    </row>
    <row r="103" customFormat="false" ht="15" hidden="false" customHeight="false" outlineLevel="0" collapsed="false">
      <c r="A103" s="8" t="s">
        <v>261</v>
      </c>
    </row>
  </sheetData>
  <conditionalFormatting sqref="I2:I101">
    <cfRule type="cellIs" priority="2" operator="equal" aboveAverage="0" equalAverage="0" bottom="0" percent="0" rank="0" text="" dxfId="10">
      <formula>"Abierto"</formula>
    </cfRule>
    <cfRule type="cellIs" priority="3" operator="equal" aboveAverage="0" equalAverage="0" bottom="0" percent="0" rank="0" text="" dxfId="11">
      <formula>"En proceso"</formula>
    </cfRule>
    <cfRule type="cellIs" priority="4" operator="equal" aboveAverage="0" equalAverage="0" bottom="0" percent="0" rank="0" text="" dxfId="12">
      <formula>"Resuelto"</formula>
    </cfRule>
    <cfRule type="cellIs" priority="5" operator="equal" aboveAverage="0" equalAverage="0" bottom="0" percent="0" rank="0" text="" dxfId="13">
      <formula>"Cerrado"</formula>
    </cfRule>
  </conditionalFormatting>
  <conditionalFormatting sqref="H2:H101">
    <cfRule type="cellIs" priority="6" operator="equal" aboveAverage="0" equalAverage="0" bottom="0" percent="0" rank="0" text="" dxfId="10">
      <formula>"Crítica"</formula>
    </cfRule>
    <cfRule type="cellIs" priority="7" operator="equal" aboveAverage="0" equalAverage="0" bottom="0" percent="0" rank="0" text="" dxfId="14">
      <formula>"Alta"</formula>
    </cfRule>
    <cfRule type="cellIs" priority="8" operator="equal" aboveAverage="0" equalAverage="0" bottom="0" percent="0" rank="0" text="" dxfId="11">
      <formula>"Media"</formula>
    </cfRule>
    <cfRule type="cellIs" priority="9" operator="equal" aboveAverage="0" equalAverage="0" bottom="0" percent="0" rank="0" text="" dxfId="12">
      <formula>"Baja"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8"/>
  </cols>
  <sheetData>
    <row r="1" customFormat="false" ht="16.15" hidden="false" customHeight="false" outlineLevel="0" collapsed="false">
      <c r="A1" s="9" t="s">
        <v>262</v>
      </c>
      <c r="B1" s="9"/>
    </row>
    <row r="3" customFormat="false" ht="15" hidden="false" customHeight="false" outlineLevel="0" collapsed="false">
      <c r="A3" s="10" t="s">
        <v>263</v>
      </c>
      <c r="B3" s="11" t="n">
        <f aca="false">COUNTA(Detalle!A2:A101)</f>
        <v>100</v>
      </c>
    </row>
    <row r="4" customFormat="false" ht="15" hidden="false" customHeight="false" outlineLevel="0" collapsed="false">
      <c r="A4" s="10"/>
    </row>
    <row r="5" customFormat="false" ht="15" hidden="false" customHeight="false" outlineLevel="0" collapsed="false">
      <c r="A5" s="10" t="s">
        <v>264</v>
      </c>
      <c r="B5" s="11" t="n">
        <f aca="false">COUNTIF(Detalle!C2:C101,"Petición")</f>
        <v>15</v>
      </c>
    </row>
    <row r="6" customFormat="false" ht="15" hidden="false" customHeight="false" outlineLevel="0" collapsed="false">
      <c r="A6" s="10" t="s">
        <v>265</v>
      </c>
      <c r="B6" s="11" t="n">
        <f aca="false">COUNTIF(Detalle!C2:C101,"Queja")</f>
        <v>34</v>
      </c>
    </row>
    <row r="7" customFormat="false" ht="15" hidden="false" customHeight="false" outlineLevel="0" collapsed="false">
      <c r="A7" s="10" t="s">
        <v>266</v>
      </c>
      <c r="B7" s="11" t="n">
        <f aca="false">COUNTIF(Detalle!C2:C101,"Reclamo")</f>
        <v>41</v>
      </c>
    </row>
    <row r="8" customFormat="false" ht="15" hidden="false" customHeight="false" outlineLevel="0" collapsed="false">
      <c r="A8" s="10" t="s">
        <v>267</v>
      </c>
      <c r="B8" s="11" t="n">
        <f aca="false">COUNTIF(Detalle!C2:C101,"Sugerencia")</f>
        <v>10</v>
      </c>
    </row>
    <row r="9" customFormat="false" ht="15" hidden="false" customHeight="false" outlineLevel="0" collapsed="false">
      <c r="A9" s="10"/>
    </row>
    <row r="10" customFormat="false" ht="15" hidden="false" customHeight="false" outlineLevel="0" collapsed="false">
      <c r="A10" s="10" t="s">
        <v>268</v>
      </c>
      <c r="B10" s="11" t="n">
        <f aca="false">COUNTIF(Detalle!I2:I101,"Abierto")</f>
        <v>2</v>
      </c>
    </row>
    <row r="11" customFormat="false" ht="15" hidden="false" customHeight="false" outlineLevel="0" collapsed="false">
      <c r="A11" s="10" t="s">
        <v>39</v>
      </c>
      <c r="B11" s="11" t="n">
        <f aca="false">COUNTIF(Detalle!I2:I101,"En proceso")</f>
        <v>15</v>
      </c>
    </row>
    <row r="12" customFormat="false" ht="15" hidden="false" customHeight="false" outlineLevel="0" collapsed="false">
      <c r="A12" s="10" t="s">
        <v>269</v>
      </c>
      <c r="B12" s="11" t="n">
        <f aca="false">COUNTIF(Detalle!I2:I101,"Resuelto")</f>
        <v>63</v>
      </c>
    </row>
    <row r="13" customFormat="false" ht="15" hidden="false" customHeight="false" outlineLevel="0" collapsed="false">
      <c r="A13" s="10" t="s">
        <v>270</v>
      </c>
      <c r="B13" s="11" t="n">
        <f aca="false">COUNTIF(Detalle!I2:I101,"Cerrado")</f>
        <v>20</v>
      </c>
    </row>
    <row r="14" customFormat="false" ht="15" hidden="false" customHeight="false" outlineLevel="0" collapsed="false">
      <c r="A14" s="10" t="s">
        <v>271</v>
      </c>
      <c r="B14" s="12" t="n">
        <f aca="false">(B12+B13)/B3</f>
        <v>0.83</v>
      </c>
    </row>
    <row r="15" customFormat="false" ht="15" hidden="false" customHeight="false" outlineLevel="0" collapsed="false">
      <c r="A15" s="10" t="s">
        <v>272</v>
      </c>
      <c r="B15" s="12" t="n">
        <f aca="false">(B10+B11)/B3</f>
        <v>0.17</v>
      </c>
    </row>
    <row r="16" customFormat="false" ht="15" hidden="false" customHeight="false" outlineLevel="0" collapsed="false">
      <c r="A16" s="10"/>
    </row>
    <row r="17" customFormat="false" ht="15" hidden="false" customHeight="false" outlineLevel="0" collapsed="false">
      <c r="A17" s="10" t="s">
        <v>273</v>
      </c>
      <c r="B17" s="13" t="n">
        <f aca="false">SUM(Detalle!N2:N101)</f>
        <v>24385000</v>
      </c>
    </row>
    <row r="18" customFormat="false" ht="15" hidden="false" customHeight="false" outlineLevel="0" collapsed="false">
      <c r="A18" s="10" t="s">
        <v>274</v>
      </c>
      <c r="B18" s="14" t="n">
        <f aca="false">AVERAGEIF(Detalle!I2:I101,"Resuelto",Detalle!M2:M101)</f>
        <v>15.5396825396825</v>
      </c>
    </row>
    <row r="19" customFormat="false" ht="15" hidden="false" customHeight="false" outlineLevel="0" collapsed="false">
      <c r="A19" s="10"/>
    </row>
    <row r="20" customFormat="false" ht="15" hidden="false" customHeight="false" outlineLevel="0" collapsed="false">
      <c r="A20" s="10" t="s">
        <v>275</v>
      </c>
      <c r="B20" s="11" t="n">
        <f aca="false">SUMPRODUCT((Detalle!I2:I101&lt;&gt;"Resuelto")*(Detalle!I2:I101&lt;&gt;"Cerrado")*(Detalle!O2:O101="No"))</f>
        <v>3</v>
      </c>
    </row>
    <row r="22" customFormat="false" ht="15" hidden="false" customHeight="false" outlineLevel="0" collapsed="false">
      <c r="A22" s="15" t="s">
        <v>276</v>
      </c>
    </row>
    <row r="23" customFormat="false" ht="23.85" hidden="false" customHeight="false" outlineLevel="0" collapsed="false">
      <c r="A23" s="16" t="s">
        <v>3</v>
      </c>
      <c r="B23" s="16" t="s">
        <v>277</v>
      </c>
      <c r="C23" s="16" t="s">
        <v>278</v>
      </c>
      <c r="D23" s="16" t="s">
        <v>279</v>
      </c>
      <c r="E23" s="16" t="s">
        <v>13</v>
      </c>
    </row>
    <row r="24" customFormat="false" ht="15" hidden="false" customHeight="false" outlineLevel="0" collapsed="false">
      <c r="A24" s="10" t="s">
        <v>17</v>
      </c>
      <c r="B24" s="10" t="n">
        <f aca="false">COUNTIF(Detalle!D2:D101,"Entrega/Logística")</f>
        <v>48</v>
      </c>
      <c r="C24" s="10" t="n">
        <f aca="false">COUNTIFS(Detalle!D2:D101,"Entrega/Logística",Detalle!I2:I101,"Resuelto")+COUNTIFS(Detalle!D2:D101,"Entrega/Logística",Detalle!I2:I101,"Cerrado")</f>
        <v>39</v>
      </c>
      <c r="D24" s="17" t="n">
        <f aca="false">IFERROR((SUMIFS(Detalle!M2:M101,Detalle!D2:D101,"Entrega/Logística",Detalle!I2:I101,"Resuelto")+SUMIFS(Detalle!M2:M101,Detalle!D2:D101,"Entrega/Logística",Detalle!I2:I101,"Cerrado"))/C24,0)</f>
        <v>17.4615384615385</v>
      </c>
      <c r="E24" s="18" t="n">
        <f aca="false">SUMIF(Detalle!D2:D101,"Entrega/Logística",Detalle!N2:N101)</f>
        <v>18532000</v>
      </c>
    </row>
    <row r="25" customFormat="false" ht="15" hidden="false" customHeight="false" outlineLevel="0" collapsed="false">
      <c r="A25" s="10" t="s">
        <v>51</v>
      </c>
      <c r="B25" s="10" t="n">
        <f aca="false">COUNTIF(Detalle!D2:D101,"Calidad producto")</f>
        <v>19</v>
      </c>
      <c r="C25" s="10" t="n">
        <f aca="false">COUNTIFS(Detalle!D2:D101,"Calidad producto",Detalle!I2:I101,"Resuelto")+COUNTIFS(Detalle!D2:D101,"Calidad producto",Detalle!I2:I101,"Cerrado")</f>
        <v>17</v>
      </c>
      <c r="D25" s="17" t="n">
        <f aca="false">IFERROR((SUMIFS(Detalle!M2:M101,Detalle!D2:D101,"Calidad producto",Detalle!I2:I101,"Resuelto")+SUMIFS(Detalle!M2:M101,Detalle!D2:D101,"Calidad producto",Detalle!I2:I101,"Cerrado"))/C25,0)</f>
        <v>12.1176470588235</v>
      </c>
      <c r="E25" s="18" t="n">
        <f aca="false">SUMIF(Detalle!D2:D101,"Calidad producto",Detalle!N2:N101)</f>
        <v>5853000</v>
      </c>
    </row>
    <row r="26" customFormat="false" ht="15" hidden="false" customHeight="false" outlineLevel="0" collapsed="false">
      <c r="A26" s="10" t="s">
        <v>28</v>
      </c>
      <c r="B26" s="10" t="n">
        <f aca="false">COUNTIF(Detalle!D2:D101,"Facturación")</f>
        <v>14</v>
      </c>
      <c r="C26" s="10" t="n">
        <f aca="false">COUNTIFS(Detalle!D2:D101,"Facturación",Detalle!I2:I101,"Resuelto")+COUNTIFS(Detalle!D2:D101,"Facturación",Detalle!I2:I101,"Cerrado")</f>
        <v>9</v>
      </c>
      <c r="D26" s="17" t="n">
        <f aca="false">IFERROR((SUMIFS(Detalle!M2:M101,Detalle!D2:D101,"Facturación",Detalle!I2:I101,"Resuelto")+SUMIFS(Detalle!M2:M101,Detalle!D2:D101,"Facturación",Detalle!I2:I101,"Cerrado"))/C26,0)</f>
        <v>10.3333333333333</v>
      </c>
      <c r="E26" s="18" t="n">
        <f aca="false">SUMIF(Detalle!D2:D101,"Facturación",Detalle!N2:N101)</f>
        <v>0</v>
      </c>
    </row>
    <row r="27" customFormat="false" ht="15" hidden="false" customHeight="false" outlineLevel="0" collapsed="false">
      <c r="A27" s="10" t="s">
        <v>58</v>
      </c>
      <c r="B27" s="10" t="n">
        <f aca="false">COUNTIF(Detalle!D2:D101,"Servicio")</f>
        <v>14</v>
      </c>
      <c r="C27" s="10" t="n">
        <f aca="false">COUNTIFS(Detalle!D2:D101,"Servicio",Detalle!I2:I101,"Resuelto")+COUNTIFS(Detalle!D2:D101,"Servicio",Detalle!I2:I101,"Cerrado")</f>
        <v>14</v>
      </c>
      <c r="D27" s="17" t="n">
        <f aca="false">IFERROR((SUMIFS(Detalle!M2:M101,Detalle!D2:D101,"Servicio",Detalle!I2:I101,"Resuelto")+SUMIFS(Detalle!M2:M101,Detalle!D2:D101,"Servicio",Detalle!I2:I101,"Cerrado"))/C27,0)</f>
        <v>14.7857142857143</v>
      </c>
      <c r="E27" s="18" t="n">
        <f aca="false">SUMIF(Detalle!D2:D101,"Servicio",Detalle!N2:N101)</f>
        <v>0</v>
      </c>
    </row>
    <row r="28" customFormat="false" ht="15" hidden="false" customHeight="false" outlineLevel="0" collapsed="false">
      <c r="A28" s="10" t="s">
        <v>81</v>
      </c>
      <c r="B28" s="10" t="n">
        <f aca="false">COUNTIF(Detalle!D2:D101,"Otra")</f>
        <v>5</v>
      </c>
      <c r="C28" s="10" t="n">
        <f aca="false">COUNTIFS(Detalle!D2:D101,"Otra",Detalle!I2:I101,"Resuelto")+COUNTIFS(Detalle!D2:D101,"Otra",Detalle!I2:I101,"Cerrado")</f>
        <v>4</v>
      </c>
      <c r="D28" s="17" t="n">
        <f aca="false">IFERROR((SUMIFS(Detalle!M2:M101,Detalle!D2:D101,"Otra",Detalle!I2:I101,"Resuelto")+SUMIFS(Detalle!M2:M101,Detalle!D2:D101,"Otra",Detalle!I2:I101,"Cerrado"))/C28,0)</f>
        <v>18.75</v>
      </c>
      <c r="E28" s="18" t="n">
        <f aca="false">SUMIF(Detalle!D2:D101,"Otra",Detalle!N2:N101)</f>
        <v>0</v>
      </c>
    </row>
    <row r="30" customFormat="false" ht="15" hidden="false" customHeight="false" outlineLevel="0" collapsed="false">
      <c r="A30" s="15" t="s">
        <v>280</v>
      </c>
    </row>
    <row r="31" customFormat="false" ht="15" hidden="false" customHeight="false" outlineLevel="0" collapsed="false">
      <c r="A31" s="19" t="s">
        <v>281</v>
      </c>
      <c r="B31" s="19" t="s">
        <v>282</v>
      </c>
      <c r="C31" s="19" t="s">
        <v>283</v>
      </c>
      <c r="D31" s="19" t="s">
        <v>284</v>
      </c>
      <c r="E31" s="19" t="s">
        <v>13</v>
      </c>
    </row>
    <row r="32" customFormat="false" ht="15" hidden="false" customHeight="false" outlineLevel="0" collapsed="false">
      <c r="A32" s="10" t="s">
        <v>285</v>
      </c>
      <c r="B32" s="10" t="n">
        <f aca="false">SUMPRODUCT((TEXT(Detalle!B2:B101,"YYYY-MM")="2025-01")*1)</f>
        <v>11</v>
      </c>
      <c r="C32" s="10" t="n">
        <f aca="false">SUMPRODUCT((TEXT(Detalle!B2:B101,"YYYY-MM")="2025-01")*(Detalle!C2:C101="Reclamo"))</f>
        <v>4</v>
      </c>
      <c r="D32" s="10" t="n">
        <f aca="false">SUMPRODUCT((TEXT(Detalle!B2:B101,"YYYY-MM")="2025-01")*(Detalle!C2:C101="Queja"))</f>
        <v>1</v>
      </c>
      <c r="E32" s="18" t="n">
        <f aca="false">SUMPRODUCT((TEXT(Detalle!B2:B101,"YYYY-MM")="2025-01")*Detalle!N2:N101)</f>
        <v>3842000</v>
      </c>
    </row>
    <row r="33" customFormat="false" ht="15" hidden="false" customHeight="false" outlineLevel="0" collapsed="false">
      <c r="A33" s="10" t="s">
        <v>286</v>
      </c>
      <c r="B33" s="10" t="n">
        <f aca="false">SUMPRODUCT((TEXT(Detalle!B2:B101,"YYYY-MM")="2025-02")*1)</f>
        <v>12</v>
      </c>
      <c r="C33" s="10" t="n">
        <f aca="false">SUMPRODUCT((TEXT(Detalle!B2:B101,"YYYY-MM")="2025-02")*(Detalle!C2:C101="Reclamo"))</f>
        <v>3</v>
      </c>
      <c r="D33" s="10" t="n">
        <f aca="false">SUMPRODUCT((TEXT(Detalle!B2:B101,"YYYY-MM")="2025-02")*(Detalle!C2:C101="Queja"))</f>
        <v>5</v>
      </c>
      <c r="E33" s="18" t="n">
        <f aca="false">SUMPRODUCT((TEXT(Detalle!B2:B101,"YYYY-MM")="2025-02")*Detalle!N2:N101)</f>
        <v>6946000</v>
      </c>
    </row>
    <row r="34" customFormat="false" ht="15" hidden="false" customHeight="false" outlineLevel="0" collapsed="false">
      <c r="A34" s="10" t="s">
        <v>287</v>
      </c>
      <c r="B34" s="10" t="n">
        <f aca="false">SUMPRODUCT((TEXT(Detalle!B2:B101,"YYYY-MM")="2025-03")*1)</f>
        <v>12</v>
      </c>
      <c r="C34" s="10" t="n">
        <f aca="false">SUMPRODUCT((TEXT(Detalle!B2:B101,"YYYY-MM")="2025-03")*(Detalle!C2:C101="Reclamo"))</f>
        <v>6</v>
      </c>
      <c r="D34" s="10" t="n">
        <f aca="false">SUMPRODUCT((TEXT(Detalle!B2:B101,"YYYY-MM")="2025-03")*(Detalle!C2:C101="Queja"))</f>
        <v>5</v>
      </c>
      <c r="E34" s="18" t="n">
        <f aca="false">SUMPRODUCT((TEXT(Detalle!B2:B101,"YYYY-MM")="2025-03")*Detalle!N2:N101)</f>
        <v>2327000</v>
      </c>
    </row>
    <row r="35" customFormat="false" ht="15" hidden="false" customHeight="false" outlineLevel="0" collapsed="false">
      <c r="A35" s="10" t="s">
        <v>288</v>
      </c>
      <c r="B35" s="10" t="n">
        <f aca="false">SUMPRODUCT((TEXT(Detalle!B2:B101,"YYYY-MM")="2025-04")*1)</f>
        <v>13</v>
      </c>
      <c r="C35" s="10" t="n">
        <f aca="false">SUMPRODUCT((TEXT(Detalle!B2:B101,"YYYY-MM")="2025-04")*(Detalle!C2:C101="Reclamo"))</f>
        <v>6</v>
      </c>
      <c r="D35" s="10" t="n">
        <f aca="false">SUMPRODUCT((TEXT(Detalle!B2:B101,"YYYY-MM")="2025-04")*(Detalle!C2:C101="Queja"))</f>
        <v>6</v>
      </c>
      <c r="E35" s="18" t="n">
        <f aca="false">SUMPRODUCT((TEXT(Detalle!B2:B101,"YYYY-MM")="2025-04")*Detalle!N2:N101)</f>
        <v>2056000</v>
      </c>
    </row>
    <row r="36" customFormat="false" ht="15" hidden="false" customHeight="false" outlineLevel="0" collapsed="false">
      <c r="A36" s="10" t="s">
        <v>289</v>
      </c>
      <c r="B36" s="10" t="n">
        <f aca="false">SUMPRODUCT((TEXT(Detalle!B2:B101,"YYYY-MM")="2025-05")*1)</f>
        <v>13</v>
      </c>
      <c r="C36" s="10" t="n">
        <f aca="false">SUMPRODUCT((TEXT(Detalle!B2:B101,"YYYY-MM")="2025-05")*(Detalle!C2:C101="Reclamo"))</f>
        <v>6</v>
      </c>
      <c r="D36" s="10" t="n">
        <f aca="false">SUMPRODUCT((TEXT(Detalle!B2:B101,"YYYY-MM")="2025-05")*(Detalle!C2:C101="Queja"))</f>
        <v>4</v>
      </c>
      <c r="E36" s="18" t="n">
        <f aca="false">SUMPRODUCT((TEXT(Detalle!B2:B101,"YYYY-MM")="2025-05")*Detalle!N2:N101)</f>
        <v>3992000</v>
      </c>
    </row>
    <row r="37" customFormat="false" ht="15" hidden="false" customHeight="false" outlineLevel="0" collapsed="false">
      <c r="A37" s="10" t="s">
        <v>290</v>
      </c>
      <c r="B37" s="10" t="n">
        <f aca="false">SUMPRODUCT((TEXT(Detalle!B2:B101,"YYYY-MM")="2025-06")*1)</f>
        <v>12</v>
      </c>
      <c r="C37" s="10" t="n">
        <f aca="false">SUMPRODUCT((TEXT(Detalle!B2:B101,"YYYY-MM")="2025-06")*(Detalle!C2:C101="Reclamo"))</f>
        <v>3</v>
      </c>
      <c r="D37" s="10" t="n">
        <f aca="false">SUMPRODUCT((TEXT(Detalle!B2:B101,"YYYY-MM")="2025-06")*(Detalle!C2:C101="Queja"))</f>
        <v>3</v>
      </c>
      <c r="E37" s="18" t="n">
        <f aca="false">SUMPRODUCT((TEXT(Detalle!B2:B101,"YYYY-MM")="2025-06")*Detalle!N2:N101)</f>
        <v>1149000</v>
      </c>
    </row>
    <row r="38" customFormat="false" ht="15" hidden="false" customHeight="false" outlineLevel="0" collapsed="false">
      <c r="A38" s="10" t="s">
        <v>291</v>
      </c>
      <c r="B38" s="10" t="n">
        <f aca="false">SUMPRODUCT((TEXT(Detalle!B2:B101,"YYYY-MM")="2025-07")*1)</f>
        <v>13</v>
      </c>
      <c r="C38" s="10" t="n">
        <f aca="false">SUMPRODUCT((TEXT(Detalle!B2:B101,"YYYY-MM")="2025-07")*(Detalle!C2:C101="Reclamo"))</f>
        <v>7</v>
      </c>
      <c r="D38" s="10" t="n">
        <f aca="false">SUMPRODUCT((TEXT(Detalle!B2:B101,"YYYY-MM")="2025-07")*(Detalle!C2:C101="Queja"))</f>
        <v>4</v>
      </c>
      <c r="E38" s="18" t="n">
        <f aca="false">SUMPRODUCT((TEXT(Detalle!B2:B101,"YYYY-MM")="2025-07")*Detalle!N2:N101)</f>
        <v>1967000</v>
      </c>
    </row>
    <row r="39" customFormat="false" ht="15" hidden="false" customHeight="false" outlineLevel="0" collapsed="false">
      <c r="A39" s="10" t="s">
        <v>292</v>
      </c>
      <c r="B39" s="10" t="n">
        <f aca="false">SUMPRODUCT((TEXT(Detalle!B2:B101,"YYYY-MM")="2025-08")*1)</f>
        <v>14</v>
      </c>
      <c r="C39" s="10" t="n">
        <f aca="false">SUMPRODUCT((TEXT(Detalle!B2:B101,"YYYY-MM")="2025-08")*(Detalle!C2:C101="Reclamo"))</f>
        <v>6</v>
      </c>
      <c r="D39" s="10" t="n">
        <f aca="false">SUMPRODUCT((TEXT(Detalle!B2:B101,"YYYY-MM")="2025-08")*(Detalle!C2:C101="Queja"))</f>
        <v>6</v>
      </c>
      <c r="E39" s="18" t="n">
        <f aca="false">SUMPRODUCT((TEXT(Detalle!B2:B101,"YYYY-MM")="2025-08")*Detalle!N2:N101)</f>
        <v>2106000</v>
      </c>
    </row>
    <row r="42" customFormat="false" ht="15" hidden="false" customHeight="false" outlineLevel="0" collapsed="false">
      <c r="A42" s="8" t="s">
        <v>293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2026-08-11T03:44:01Z</dcterms:created>
  <dc:creator>openpyxl</dc:creator>
  <dc:description/>
  <dc:language>en-US</dc:language>
  <cp:lastModifiedBy/>
  <dcterms:modified xsi:type="dcterms:W3CDTF">2026-08-11T03:44:01Z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