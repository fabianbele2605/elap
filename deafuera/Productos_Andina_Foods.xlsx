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<sst xmlns="http://schemas.openxmlformats.org/spreadsheetml/2006/main" count="915" uniqueCount="314">
  <si>
    <t xml:space="preserve">SKU</t>
  </si>
  <si>
    <t xml:space="preserve">Nombre Producto</t>
  </si>
  <si>
    <t xml:space="preserve">Categoría</t>
  </si>
  <si>
    <t xml:space="preserve">Marca</t>
  </si>
  <si>
    <t xml:space="preserve">Proveedor</t>
  </si>
  <si>
    <t xml:space="preserve">Unidad</t>
  </si>
  <si>
    <t xml:space="preserve">Precio Costo (COP)</t>
  </si>
  <si>
    <t xml:space="preserve">Precio Venta (COP)</t>
  </si>
  <si>
    <t xml:space="preserve">Margen %</t>
  </si>
  <si>
    <t xml:space="preserve">Stock Actual (unid.)</t>
  </si>
  <si>
    <t xml:space="preserve">Stock Mínimo (unid.)</t>
  </si>
  <si>
    <t xml:space="preserve">Rotación (veces/año)</t>
  </si>
  <si>
    <t xml:space="preserve">Último Movimiento</t>
  </si>
  <si>
    <t xml:space="preserve">Estado</t>
  </si>
  <si>
    <t xml:space="preserve">P001</t>
  </si>
  <si>
    <t xml:space="preserve">Leche Condensada Lata 380g</t>
  </si>
  <si>
    <t xml:space="preserve">Alimentos</t>
  </si>
  <si>
    <t xml:space="preserve">Kraft</t>
  </si>
  <si>
    <t xml:space="preserve">Postobón S.A.</t>
  </si>
  <si>
    <t xml:space="preserve">Activo</t>
  </si>
  <si>
    <t xml:space="preserve">P002</t>
  </si>
  <si>
    <t xml:space="preserve">Crema Dental Tubo 90g</t>
  </si>
  <si>
    <t xml:space="preserve">Cuidado Personal</t>
  </si>
  <si>
    <t xml:space="preserve">Colgate-Palmolive</t>
  </si>
  <si>
    <t xml:space="preserve">Grupo Familia S.A.</t>
  </si>
  <si>
    <t xml:space="preserve">Descontinuado</t>
  </si>
  <si>
    <t xml:space="preserve">P003</t>
  </si>
  <si>
    <t xml:space="preserve">Yogurt Bebible Fresa 200ml</t>
  </si>
  <si>
    <t xml:space="preserve">Bebidas</t>
  </si>
  <si>
    <t xml:space="preserve">Coca-Cola</t>
  </si>
  <si>
    <t xml:space="preserve">Caja</t>
  </si>
  <si>
    <t xml:space="preserve">P004</t>
  </si>
  <si>
    <t xml:space="preserve">Arroz Blanco Bolsa 1kg</t>
  </si>
  <si>
    <t xml:space="preserve">Alpina</t>
  </si>
  <si>
    <t xml:space="preserve">P005</t>
  </si>
  <si>
    <t xml:space="preserve">Gaseosa Sabor Cola 2.5L</t>
  </si>
  <si>
    <t xml:space="preserve">En falta</t>
  </si>
  <si>
    <t xml:space="preserve">P006</t>
  </si>
  <si>
    <t xml:space="preserve">Panela Bloque 1kg</t>
  </si>
  <si>
    <t xml:space="preserve">Nestlé</t>
  </si>
  <si>
    <t xml:space="preserve">Nestlé de Colombia S.A.</t>
  </si>
  <si>
    <t xml:space="preserve">Paquete</t>
  </si>
  <si>
    <t xml:space="preserve">P007</t>
  </si>
  <si>
    <t xml:space="preserve">Chocolate de Mesa Barra 500g</t>
  </si>
  <si>
    <t xml:space="preserve">Alpina Productos Alimenticios</t>
  </si>
  <si>
    <t xml:space="preserve">P008</t>
  </si>
  <si>
    <t xml:space="preserve">Snack de Papa Bolsa 150g</t>
  </si>
  <si>
    <t xml:space="preserve">Marca propia</t>
  </si>
  <si>
    <t xml:space="preserve">Andina Selecta</t>
  </si>
  <si>
    <t xml:space="preserve">Andina Selecta (producción propia)</t>
  </si>
  <si>
    <t xml:space="preserve">P009</t>
  </si>
  <si>
    <t xml:space="preserve">Desodorante en Aerosol Frasco 150ml</t>
  </si>
  <si>
    <t xml:space="preserve">P010</t>
  </si>
  <si>
    <t xml:space="preserve">Café Instantáneo Frasco 170g</t>
  </si>
  <si>
    <t xml:space="preserve">Postobón</t>
  </si>
  <si>
    <t xml:space="preserve">P011</t>
  </si>
  <si>
    <t xml:space="preserve">Agua Sin Gas 600ml</t>
  </si>
  <si>
    <t xml:space="preserve">Litro</t>
  </si>
  <si>
    <t xml:space="preserve">P012</t>
  </si>
  <si>
    <t xml:space="preserve">Salchicha Tipo Viena Paquete 500g</t>
  </si>
  <si>
    <t xml:space="preserve">P013</t>
  </si>
  <si>
    <t xml:space="preserve">Atún en Lata Lata 170g</t>
  </si>
  <si>
    <t xml:space="preserve">P014</t>
  </si>
  <si>
    <t xml:space="preserve">Galletas de Chocolate Paquete 200g</t>
  </si>
  <si>
    <t xml:space="preserve">P015</t>
  </si>
  <si>
    <t xml:space="preserve">Jugo de Naranja Natural 1L</t>
  </si>
  <si>
    <t xml:space="preserve">P016</t>
  </si>
  <si>
    <t xml:space="preserve">Refresco de Manzana 1.5L</t>
  </si>
  <si>
    <t xml:space="preserve">P017</t>
  </si>
  <si>
    <t xml:space="preserve">Bebida Energizante 250ml</t>
  </si>
  <si>
    <t xml:space="preserve">P018</t>
  </si>
  <si>
    <t xml:space="preserve">Jugo de Mango 1L</t>
  </si>
  <si>
    <t xml:space="preserve">P019</t>
  </si>
  <si>
    <t xml:space="preserve">Malta Sabor Original 330ml</t>
  </si>
  <si>
    <t xml:space="preserve">Distribuidora Nacional de Alimentos S.A.S.</t>
  </si>
  <si>
    <t xml:space="preserve">P020</t>
  </si>
  <si>
    <t xml:space="preserve">Blanqueador Líquido Botella 1L</t>
  </si>
  <si>
    <t xml:space="preserve">Aseo</t>
  </si>
  <si>
    <t xml:space="preserve">Familia</t>
  </si>
  <si>
    <t xml:space="preserve">Unilever Andina Colombia</t>
  </si>
  <si>
    <t xml:space="preserve">P021</t>
  </si>
  <si>
    <t xml:space="preserve">Mortadela Paquete 250g</t>
  </si>
  <si>
    <t xml:space="preserve">P022</t>
  </si>
  <si>
    <t xml:space="preserve">Mayonesa Frasco 400g</t>
  </si>
  <si>
    <t xml:space="preserve">P023</t>
  </si>
  <si>
    <t xml:space="preserve">Agua Sin Gas 1L</t>
  </si>
  <si>
    <t xml:space="preserve">P024</t>
  </si>
  <si>
    <t xml:space="preserve">Limpiador Líquido Multiusos Botella 1L</t>
  </si>
  <si>
    <t xml:space="preserve">P025</t>
  </si>
  <si>
    <t xml:space="preserve">Pasta Tipo Espagueti Paquete 500g</t>
  </si>
  <si>
    <t xml:space="preserve">P026</t>
  </si>
  <si>
    <t xml:space="preserve">Agua Saborizada Limón 500ml</t>
  </si>
  <si>
    <t xml:space="preserve">P027</t>
  </si>
  <si>
    <t xml:space="preserve">Galletas Saladas Paquete 300g</t>
  </si>
  <si>
    <t xml:space="preserve">P028</t>
  </si>
  <si>
    <t xml:space="preserve">Limpiador de Pisos Botella 1L</t>
  </si>
  <si>
    <t xml:space="preserve">P029</t>
  </si>
  <si>
    <t xml:space="preserve">Toallas Higiénicas Paquete x10</t>
  </si>
  <si>
    <t xml:space="preserve">P030</t>
  </si>
  <si>
    <t xml:space="preserve">Avena Lista para Tomar 1L</t>
  </si>
  <si>
    <t xml:space="preserve">P031</t>
  </si>
  <si>
    <t xml:space="preserve">Detergente en Polvo Bolsa 3kg</t>
  </si>
  <si>
    <t xml:space="preserve">Fabuloso</t>
  </si>
  <si>
    <t xml:space="preserve">P032</t>
  </si>
  <si>
    <t xml:space="preserve">Chocolate en Polvo para Bebida Bolsa 400g</t>
  </si>
  <si>
    <t xml:space="preserve">P033</t>
  </si>
  <si>
    <t xml:space="preserve">Cereal de Maíz Caja 300g</t>
  </si>
  <si>
    <t xml:space="preserve">P034</t>
  </si>
  <si>
    <t xml:space="preserve">Gaseosa Sabor Cola 400ml</t>
  </si>
  <si>
    <t xml:space="preserve">P035</t>
  </si>
  <si>
    <t xml:space="preserve">Papel Higiénico Paquete x4</t>
  </si>
  <si>
    <t xml:space="preserve">Head &amp; Shoulders</t>
  </si>
  <si>
    <t xml:space="preserve">P036</t>
  </si>
  <si>
    <t xml:space="preserve">Ponqué Industrial Paquete 220g</t>
  </si>
  <si>
    <t xml:space="preserve">P037</t>
  </si>
  <si>
    <t xml:space="preserve">Jugo de Naranja Natural 200ml</t>
  </si>
  <si>
    <t xml:space="preserve">P038</t>
  </si>
  <si>
    <t xml:space="preserve">Aceite Vegetal Botella 3L</t>
  </si>
  <si>
    <t xml:space="preserve">Zenú</t>
  </si>
  <si>
    <t xml:space="preserve">P039</t>
  </si>
  <si>
    <t xml:space="preserve">Gaseosa Sabor Cola 1.5L</t>
  </si>
  <si>
    <t xml:space="preserve">P040</t>
  </si>
  <si>
    <t xml:space="preserve">Harina de Trigo Bolsa 1kg</t>
  </si>
  <si>
    <t xml:space="preserve">P041</t>
  </si>
  <si>
    <t xml:space="preserve">Jabón de Tocador Barra 90g</t>
  </si>
  <si>
    <t xml:space="preserve">P042</t>
  </si>
  <si>
    <t xml:space="preserve">Té Frío de Limón 1.5L</t>
  </si>
  <si>
    <t xml:space="preserve">P043</t>
  </si>
  <si>
    <t xml:space="preserve">Café Molido Bolsa 500g</t>
  </si>
  <si>
    <t xml:space="preserve">Doria</t>
  </si>
  <si>
    <t xml:space="preserve">P044</t>
  </si>
  <si>
    <t xml:space="preserve">Salsa de Tomate Botella 400g</t>
  </si>
  <si>
    <t xml:space="preserve">P045</t>
  </si>
  <si>
    <t xml:space="preserve">Jugo de Mora 1L</t>
  </si>
  <si>
    <t xml:space="preserve">P046</t>
  </si>
  <si>
    <t xml:space="preserve">Agua Sin Gas 3L</t>
  </si>
  <si>
    <t xml:space="preserve">P047</t>
  </si>
  <si>
    <t xml:space="preserve">Jugo de Mango 200ml</t>
  </si>
  <si>
    <t xml:space="preserve">P048</t>
  </si>
  <si>
    <t xml:space="preserve">Arroz Blanco Bolsa 500g</t>
  </si>
  <si>
    <t xml:space="preserve">P049</t>
  </si>
  <si>
    <t xml:space="preserve">Té Frío de Limón 500ml</t>
  </si>
  <si>
    <t xml:space="preserve">P050</t>
  </si>
  <si>
    <t xml:space="preserve">Enjuague Bucal Botella 500ml</t>
  </si>
  <si>
    <t xml:space="preserve">Johnson's</t>
  </si>
  <si>
    <t xml:space="preserve">Colgate-Palmolive Colombia</t>
  </si>
  <si>
    <t xml:space="preserve">P051</t>
  </si>
  <si>
    <t xml:space="preserve">Esponja Multiusos Paquete x3</t>
  </si>
  <si>
    <t xml:space="preserve">P052</t>
  </si>
  <si>
    <t xml:space="preserve">Café Molido Bolsa 500g (28)</t>
  </si>
  <si>
    <t xml:space="preserve">P053</t>
  </si>
  <si>
    <t xml:space="preserve">Yogurt Bebible Fresa 1L</t>
  </si>
  <si>
    <t xml:space="preserve">P054</t>
  </si>
  <si>
    <t xml:space="preserve">Lavaloza Líquido Botella 500ml</t>
  </si>
  <si>
    <t xml:space="preserve">Unilever</t>
  </si>
  <si>
    <t xml:space="preserve">P055</t>
  </si>
  <si>
    <t xml:space="preserve">Aceite Vegetal Botella 1L</t>
  </si>
  <si>
    <t xml:space="preserve">P056</t>
  </si>
  <si>
    <t xml:space="preserve">Galletas Saladas Paquete 300g (93)</t>
  </si>
  <si>
    <t xml:space="preserve">P057</t>
  </si>
  <si>
    <t xml:space="preserve">Shampoo Anticaspa Botella 400ml</t>
  </si>
  <si>
    <t xml:space="preserve">P058</t>
  </si>
  <si>
    <t xml:space="preserve">Bolsas de Basura Paquete x20</t>
  </si>
  <si>
    <t xml:space="preserve">P059</t>
  </si>
  <si>
    <t xml:space="preserve">Panela Bloque 1kg (40)</t>
  </si>
  <si>
    <t xml:space="preserve">P060</t>
  </si>
  <si>
    <t xml:space="preserve">Suavizante de Telas Botella 900ml</t>
  </si>
  <si>
    <t xml:space="preserve">P061</t>
  </si>
  <si>
    <t xml:space="preserve">Yogurt Bebible Fresa 200ml (15)</t>
  </si>
  <si>
    <t xml:space="preserve">P062</t>
  </si>
  <si>
    <t xml:space="preserve">Agua Saborizada Limón 500ml (83)</t>
  </si>
  <si>
    <t xml:space="preserve">P063</t>
  </si>
  <si>
    <t xml:space="preserve">Galletas Saladas Paquete 300g (3)</t>
  </si>
  <si>
    <t xml:space="preserve">P064</t>
  </si>
  <si>
    <t xml:space="preserve">Jabón en Barra Multiusos Barra 300g</t>
  </si>
  <si>
    <t xml:space="preserve">P065</t>
  </si>
  <si>
    <t xml:space="preserve">Mortadela Paquete 250g (24)</t>
  </si>
  <si>
    <t xml:space="preserve">P066</t>
  </si>
  <si>
    <t xml:space="preserve">Refresco de Manzana 1.5L (69)</t>
  </si>
  <si>
    <t xml:space="preserve">P067</t>
  </si>
  <si>
    <t xml:space="preserve">Snack de Papa Bolsa 150g (10)</t>
  </si>
  <si>
    <t xml:space="preserve">P068</t>
  </si>
  <si>
    <t xml:space="preserve">Detergente en Polvo Bolsa 1kg</t>
  </si>
  <si>
    <t xml:space="preserve">P069</t>
  </si>
  <si>
    <t xml:space="preserve">Crema Corporal Hidratante Frasco 400ml</t>
  </si>
  <si>
    <t xml:space="preserve">P070</t>
  </si>
  <si>
    <t xml:space="preserve">Bebida Energizante 250ml (20)</t>
  </si>
  <si>
    <t xml:space="preserve">P071</t>
  </si>
  <si>
    <t xml:space="preserve">Jugo de Naranja Natural 1L (76)</t>
  </si>
  <si>
    <t xml:space="preserve">P072</t>
  </si>
  <si>
    <t xml:space="preserve">Chocolate en Polvo para Bebida Bolsa 400g (43)</t>
  </si>
  <si>
    <t xml:space="preserve">P073</t>
  </si>
  <si>
    <t xml:space="preserve">Avena Lista para Tomar 1L (32)</t>
  </si>
  <si>
    <t xml:space="preserve">P074</t>
  </si>
  <si>
    <t xml:space="preserve">Galletas de Chocolate Paquete 200g (74)</t>
  </si>
  <si>
    <t xml:space="preserve">P075</t>
  </si>
  <si>
    <t xml:space="preserve">Jugo de Mora 1L (79)</t>
  </si>
  <si>
    <t xml:space="preserve">P076</t>
  </si>
  <si>
    <t xml:space="preserve">Salsa de Tomate Botella 400g (64)</t>
  </si>
  <si>
    <t xml:space="preserve">P077</t>
  </si>
  <si>
    <t xml:space="preserve">Detergente en Polvo Bolsa 3kg (4)</t>
  </si>
  <si>
    <t xml:space="preserve">P078</t>
  </si>
  <si>
    <t xml:space="preserve">Galletas Saladas Paquete 300g (90)</t>
  </si>
  <si>
    <t xml:space="preserve">P079</t>
  </si>
  <si>
    <t xml:space="preserve">Té Frío de Limón 1.5L (84)</t>
  </si>
  <si>
    <t xml:space="preserve">P080</t>
  </si>
  <si>
    <t xml:space="preserve">Limpiador Líquido Multiusos Botella 1L (94)</t>
  </si>
  <si>
    <t xml:space="preserve">P081</t>
  </si>
  <si>
    <t xml:space="preserve">Refresco de Manzana 1.5L (6)</t>
  </si>
  <si>
    <t xml:space="preserve">P082</t>
  </si>
  <si>
    <t xml:space="preserve">Café Instantáneo Frasco 170g (76)</t>
  </si>
  <si>
    <t xml:space="preserve">P083</t>
  </si>
  <si>
    <t xml:space="preserve">Aceite Vegetal Botella 1L (36)</t>
  </si>
  <si>
    <t xml:space="preserve">P084</t>
  </si>
  <si>
    <t xml:space="preserve">Café Instantáneo Frasco 170g (70)</t>
  </si>
  <si>
    <t xml:space="preserve">P085</t>
  </si>
  <si>
    <t xml:space="preserve">Esponja Multiusos Paquete x3 (45)</t>
  </si>
  <si>
    <t xml:space="preserve">P086</t>
  </si>
  <si>
    <t xml:space="preserve">Papel Higiénico Paquete x4 (20)</t>
  </si>
  <si>
    <t xml:space="preserve">P087</t>
  </si>
  <si>
    <t xml:space="preserve">Crema Dental Tubo 90g (86)</t>
  </si>
  <si>
    <t xml:space="preserve">P088</t>
  </si>
  <si>
    <t xml:space="preserve">Detergente en Polvo Bolsa 3kg (94)</t>
  </si>
  <si>
    <t xml:space="preserve">P089</t>
  </si>
  <si>
    <t xml:space="preserve">Panela Bloque 1kg (86)</t>
  </si>
  <si>
    <t xml:space="preserve">Ramo</t>
  </si>
  <si>
    <t xml:space="preserve">P090</t>
  </si>
  <si>
    <t xml:space="preserve">Lavaloza Líquido Botella 500ml (28)</t>
  </si>
  <si>
    <t xml:space="preserve">P091</t>
  </si>
  <si>
    <t xml:space="preserve">Crema Corporal Hidratante Frasco 400ml (16)</t>
  </si>
  <si>
    <t xml:space="preserve">P092</t>
  </si>
  <si>
    <t xml:space="preserve">Limpiador de Pisos Botella 1L (79)</t>
  </si>
  <si>
    <t xml:space="preserve">P093</t>
  </si>
  <si>
    <t xml:space="preserve">Panela Bloque 1kg (37)</t>
  </si>
  <si>
    <t xml:space="preserve">P094</t>
  </si>
  <si>
    <t xml:space="preserve">Chocolate en Polvo para Bebida Bolsa 400g (22)</t>
  </si>
  <si>
    <t xml:space="preserve">P095</t>
  </si>
  <si>
    <t xml:space="preserve">Refresco de Manzana 1.5L (36)</t>
  </si>
  <si>
    <t xml:space="preserve">P096</t>
  </si>
  <si>
    <t xml:space="preserve">Ponqué Industrial Paquete 220g (30)</t>
  </si>
  <si>
    <t xml:space="preserve">P097</t>
  </si>
  <si>
    <t xml:space="preserve">Enjuague Bucal Botella 500ml (41)</t>
  </si>
  <si>
    <t xml:space="preserve">P098</t>
  </si>
  <si>
    <t xml:space="preserve">Arroz Blanco Bolsa 500g (29)</t>
  </si>
  <si>
    <t xml:space="preserve">P099</t>
  </si>
  <si>
    <t xml:space="preserve">Ponqué Industrial Paquete 220g (72)</t>
  </si>
  <si>
    <t xml:space="preserve">P100</t>
  </si>
  <si>
    <t xml:space="preserve">Suavizante de Telas Botella 900ml (14)</t>
  </si>
  <si>
    <t xml:space="preserve">P101</t>
  </si>
  <si>
    <t xml:space="preserve">Avena Lista para Tomar 1L (86)</t>
  </si>
  <si>
    <t xml:space="preserve">P102</t>
  </si>
  <si>
    <t xml:space="preserve">Café Instantáneo Frasco 170g (77)</t>
  </si>
  <si>
    <t xml:space="preserve">P103</t>
  </si>
  <si>
    <t xml:space="preserve">Galletas Saladas Paquete 300g (99)</t>
  </si>
  <si>
    <t xml:space="preserve">P104</t>
  </si>
  <si>
    <t xml:space="preserve">Galletas Saladas Paquete 300g (41)</t>
  </si>
  <si>
    <t xml:space="preserve">P105</t>
  </si>
  <si>
    <t xml:space="preserve">Agua Sin Gas 1L (53)</t>
  </si>
  <si>
    <t xml:space="preserve">P106</t>
  </si>
  <si>
    <t xml:space="preserve">Bebida Energizante 250ml (76)</t>
  </si>
  <si>
    <t xml:space="preserve">P107</t>
  </si>
  <si>
    <t xml:space="preserve">Refresco de Manzana 1.5L (62)</t>
  </si>
  <si>
    <t xml:space="preserve">P108</t>
  </si>
  <si>
    <t xml:space="preserve">Ponqué Industrial Paquete 220g (27)</t>
  </si>
  <si>
    <t xml:space="preserve">P109</t>
  </si>
  <si>
    <t xml:space="preserve">Agua Saborizada Limón 500ml (62)</t>
  </si>
  <si>
    <t xml:space="preserve">P110</t>
  </si>
  <si>
    <t xml:space="preserve">Atún en Lata Lata 170g (99)</t>
  </si>
  <si>
    <t xml:space="preserve">P111</t>
  </si>
  <si>
    <t xml:space="preserve">Agua Saborizada Limón 500ml (39)</t>
  </si>
  <si>
    <t xml:space="preserve">P112</t>
  </si>
  <si>
    <t xml:space="preserve">Agua Saborizada Limón 500ml (18)</t>
  </si>
  <si>
    <t xml:space="preserve">P113</t>
  </si>
  <si>
    <t xml:space="preserve">Arroz Blanco Bolsa 1kg (11)</t>
  </si>
  <si>
    <t xml:space="preserve">P114</t>
  </si>
  <si>
    <t xml:space="preserve">Lavaloza Líquido Botella 500ml (54)</t>
  </si>
  <si>
    <t xml:space="preserve">P115</t>
  </si>
  <si>
    <t xml:space="preserve">Café Instantáneo Frasco 170g (81)</t>
  </si>
  <si>
    <t xml:space="preserve">P116</t>
  </si>
  <si>
    <t xml:space="preserve">Refresco de Manzana 1.5L (90)</t>
  </si>
  <si>
    <t xml:space="preserve">P117</t>
  </si>
  <si>
    <t xml:space="preserve">Ponqué Industrial Paquete 220g (34)</t>
  </si>
  <si>
    <t xml:space="preserve">P118</t>
  </si>
  <si>
    <t xml:space="preserve">Arroz Blanco Bolsa 500g (30)</t>
  </si>
  <si>
    <t xml:space="preserve">P119</t>
  </si>
  <si>
    <t xml:space="preserve">Avena Lista para Tomar 1L (6)</t>
  </si>
  <si>
    <t xml:space="preserve">P120</t>
  </si>
  <si>
    <t xml:space="preserve">Jugo de Naranja Natural 1L (54)</t>
  </si>
  <si>
    <t xml:space="preserve">Supuestos: Precio Costo y Precio Venta son valores de entrada (fuente: simulación para demo/analítica, no datos reales de Andina Foods S.A.S.). Margen % = (Precio Venta - Precio Costo) / Precio Venta. Estado 'En falta' = Stock Actual por debajo de Stock Mínimo.</t>
  </si>
  <si>
    <t xml:space="preserve">Resumen Ejecutivo — Portafolio de Productos Andina Foods</t>
  </si>
  <si>
    <t xml:space="preserve">Total de SKUs</t>
  </si>
  <si>
    <t xml:space="preserve">Productos Activos</t>
  </si>
  <si>
    <t xml:space="preserve">Productos En falta</t>
  </si>
  <si>
    <t xml:space="preserve">Productos Descontinuados</t>
  </si>
  <si>
    <t xml:space="preserve">Bebidas (# SKUs)</t>
  </si>
  <si>
    <t xml:space="preserve">Alimentos (# SKUs)</t>
  </si>
  <si>
    <t xml:space="preserve">Aseo (# SKUs)</t>
  </si>
  <si>
    <t xml:space="preserve">Cuidado Personal (# SKUs)</t>
  </si>
  <si>
    <t xml:space="preserve">Marca propia (# SKUs)</t>
  </si>
  <si>
    <t xml:space="preserve">Margen % promedio (todos los productos)</t>
  </si>
  <si>
    <t xml:space="preserve">Margen % promedio — Bebidas</t>
  </si>
  <si>
    <t xml:space="preserve">Margen % promedio — Alimentos</t>
  </si>
  <si>
    <t xml:space="preserve">Margen % promedio — Aseo</t>
  </si>
  <si>
    <t xml:space="preserve">Margen % promedio — Cuidado Personal</t>
  </si>
  <si>
    <t xml:space="preserve">Margen % promedio — Marca propia</t>
  </si>
  <si>
    <t xml:space="preserve">Rotación promedio (veces/año)</t>
  </si>
  <si>
    <t xml:space="preserve">Valor de inventario a costo (COP)</t>
  </si>
  <si>
    <t xml:space="preserve">Valor de inventario a precio venta (COP)</t>
  </si>
  <si>
    <t xml:space="preserve">Top 10 Productos Más Rentables (Margen %)</t>
  </si>
  <si>
    <t xml:space="preserve">Producto</t>
  </si>
  <si>
    <t xml:space="preserve">Productos en Falta (Stock Actual &lt; Stock Mínimo)</t>
  </si>
  <si>
    <t xml:space="preserve">Stock Actual</t>
  </si>
  <si>
    <t xml:space="preserve">Stock Mínimo</t>
  </si>
  <si>
    <t xml:space="preserve">Nota: datos simulados con fines de demostración / analítica del programa Master IA Local. No corresponden a información real de productos ni proveedores de Andina Foods S.A.S.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</si>
</sst>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#,##0"/>
    <numFmt numFmtId="168" formatCode="0"/>
    <numFmt numFmtId="169" formatCode="dd/mm/yyyy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osAndina" displayName="ProductosAndina" ref="A1:N121" headerRowCount="1" totalsRowCount="0" totalsRowShown="0">
  <autoFilter ref="A1:N121"/>
  <tableColumns count="14">
    <tableColumn id="1" name="SKU"/>
    <tableColumn id="2" name="Nombre Producto"/>
    <tableColumn id="3" name="Categoría"/>
    <tableColumn id="4" name="Marca"/>
    <tableColumn id="5" name="Proveedor"/>
    <tableColumn id="6" name="Unidad"/>
    <tableColumn id="7" name="Precio Costo (COP)"/>
    <tableColumn id="8" name="Precio Venta (COP)"/>
    <tableColumn id="9" name="Margen %"/>
    <tableColumn id="10" name="Stock Actual (unid.)"/>
    <tableColumn id="11" name="Stock Mínimo (unid.)"/>
    <tableColumn id="12" name="Rotación (veces/año)"/>
    <tableColumn id="13" name="Último Movimiento"/>
    <tableColumn id="14" name="Esta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1"/>
    <col collapsed="false" customWidth="true" hidden="false" outlineLevel="0" max="13" min="10" style="0" width="16"/>
    <col collapsed="false" customWidth="true" hidden="false" outlineLevel="0" max="14" min="14" style="0" width="1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2" t="s">
        <v>16</v>
      </c>
      <c r="D2" s="2" t="s">
        <v>17</v>
      </c>
      <c r="E2" s="3" t="s">
        <v>18</v>
      </c>
      <c r="F2" s="2" t="s">
        <v>5</v>
      </c>
      <c r="G2" s="4" t="n">
        <v>4420</v>
      </c>
      <c r="H2" s="4" t="n">
        <v>5680</v>
      </c>
      <c r="I2" s="5" t="n">
        <f aca="false">(H2-G2)/H2</f>
        <v>0.221830985915493</v>
      </c>
      <c r="J2" s="6" t="n">
        <v>1530</v>
      </c>
      <c r="K2" s="6" t="n">
        <v>294</v>
      </c>
      <c r="L2" s="7" t="n">
        <v>21</v>
      </c>
      <c r="M2" s="8" t="n">
        <v>45911</v>
      </c>
      <c r="N2" s="2" t="s">
        <v>19</v>
      </c>
    </row>
    <row r="3" customFormat="false" ht="15" hidden="false" customHeight="false" outlineLevel="0" collapsed="false">
      <c r="A3" s="2" t="s">
        <v>20</v>
      </c>
      <c r="B3" s="3" t="s">
        <v>21</v>
      </c>
      <c r="C3" s="2" t="s">
        <v>22</v>
      </c>
      <c r="D3" s="2" t="s">
        <v>23</v>
      </c>
      <c r="E3" s="3" t="s">
        <v>24</v>
      </c>
      <c r="F3" s="2" t="s">
        <v>5</v>
      </c>
      <c r="G3" s="4" t="n">
        <v>4190</v>
      </c>
      <c r="H3" s="4" t="n">
        <v>7280</v>
      </c>
      <c r="I3" s="5" t="n">
        <f aca="false">(H3-G3)/H3</f>
        <v>0.424450549450549</v>
      </c>
      <c r="J3" s="6" t="n">
        <v>136</v>
      </c>
      <c r="K3" s="6" t="n">
        <v>244</v>
      </c>
      <c r="L3" s="7" t="n">
        <v>5</v>
      </c>
      <c r="M3" s="8" t="n">
        <v>45752</v>
      </c>
      <c r="N3" s="2" t="s">
        <v>25</v>
      </c>
    </row>
    <row r="4" customFormat="false" ht="15" hidden="false" customHeight="false" outlineLevel="0" collapsed="false">
      <c r="A4" s="2" t="s">
        <v>26</v>
      </c>
      <c r="B4" s="3" t="s">
        <v>27</v>
      </c>
      <c r="C4" s="2" t="s">
        <v>28</v>
      </c>
      <c r="D4" s="2" t="s">
        <v>29</v>
      </c>
      <c r="E4" s="3" t="s">
        <v>18</v>
      </c>
      <c r="F4" s="2" t="s">
        <v>30</v>
      </c>
      <c r="G4" s="4" t="n">
        <v>7300</v>
      </c>
      <c r="H4" s="4" t="n">
        <v>9460</v>
      </c>
      <c r="I4" s="5" t="n">
        <f aca="false">(H4-G4)/H4</f>
        <v>0.228329809725159</v>
      </c>
      <c r="J4" s="6" t="n">
        <v>3654</v>
      </c>
      <c r="K4" s="6" t="n">
        <v>386</v>
      </c>
      <c r="L4" s="7" t="n">
        <v>48</v>
      </c>
      <c r="M4" s="8" t="n">
        <v>45951</v>
      </c>
      <c r="N4" s="2" t="s">
        <v>19</v>
      </c>
    </row>
    <row r="5" customFormat="false" ht="15" hidden="false" customHeight="false" outlineLevel="0" collapsed="false">
      <c r="A5" s="2" t="s">
        <v>31</v>
      </c>
      <c r="B5" s="3" t="s">
        <v>32</v>
      </c>
      <c r="C5" s="2" t="s">
        <v>16</v>
      </c>
      <c r="D5" s="2" t="s">
        <v>33</v>
      </c>
      <c r="E5" s="3" t="s">
        <v>18</v>
      </c>
      <c r="F5" s="2" t="s">
        <v>30</v>
      </c>
      <c r="G5" s="4" t="n">
        <v>3500</v>
      </c>
      <c r="H5" s="4" t="n">
        <v>4850</v>
      </c>
      <c r="I5" s="5" t="n">
        <f aca="false">(H5-G5)/H5</f>
        <v>0.278350515463918</v>
      </c>
      <c r="J5" s="6" t="n">
        <v>586</v>
      </c>
      <c r="K5" s="6" t="n">
        <v>156</v>
      </c>
      <c r="L5" s="7" t="n">
        <v>23</v>
      </c>
      <c r="M5" s="8" t="n">
        <v>45914</v>
      </c>
      <c r="N5" s="2" t="s">
        <v>19</v>
      </c>
    </row>
    <row r="6" customFormat="false" ht="15" hidden="false" customHeight="false" outlineLevel="0" collapsed="false">
      <c r="A6" s="2" t="s">
        <v>34</v>
      </c>
      <c r="B6" s="3" t="s">
        <v>35</v>
      </c>
      <c r="C6" s="2" t="s">
        <v>28</v>
      </c>
      <c r="D6" s="2" t="s">
        <v>29</v>
      </c>
      <c r="E6" s="3" t="s">
        <v>18</v>
      </c>
      <c r="F6" s="2" t="s">
        <v>30</v>
      </c>
      <c r="G6" s="4" t="n">
        <v>5300</v>
      </c>
      <c r="H6" s="4" t="n">
        <v>6290</v>
      </c>
      <c r="I6" s="5" t="n">
        <f aca="false">(H6-G6)/H6</f>
        <v>0.157392686804452</v>
      </c>
      <c r="J6" s="6" t="n">
        <v>129</v>
      </c>
      <c r="K6" s="6" t="n">
        <v>292</v>
      </c>
      <c r="L6" s="7" t="n">
        <v>30</v>
      </c>
      <c r="M6" s="8" t="n">
        <v>45897</v>
      </c>
      <c r="N6" s="2" t="s">
        <v>36</v>
      </c>
    </row>
    <row r="7" customFormat="false" ht="15" hidden="false" customHeight="false" outlineLevel="0" collapsed="false">
      <c r="A7" s="2" t="s">
        <v>37</v>
      </c>
      <c r="B7" s="3" t="s">
        <v>38</v>
      </c>
      <c r="C7" s="2" t="s">
        <v>16</v>
      </c>
      <c r="D7" s="2" t="s">
        <v>39</v>
      </c>
      <c r="E7" s="3" t="s">
        <v>40</v>
      </c>
      <c r="F7" s="2" t="s">
        <v>41</v>
      </c>
      <c r="G7" s="4" t="n">
        <v>11930</v>
      </c>
      <c r="H7" s="4" t="n">
        <v>15430</v>
      </c>
      <c r="I7" s="5" t="n">
        <f aca="false">(H7-G7)/H7</f>
        <v>0.226830848995463</v>
      </c>
      <c r="J7" s="6" t="n">
        <v>87</v>
      </c>
      <c r="K7" s="6" t="n">
        <v>143</v>
      </c>
      <c r="L7" s="7" t="n">
        <v>24</v>
      </c>
      <c r="M7" s="8" t="n">
        <v>45998</v>
      </c>
      <c r="N7" s="2" t="s">
        <v>36</v>
      </c>
    </row>
    <row r="8" customFormat="false" ht="15" hidden="false" customHeight="false" outlineLevel="0" collapsed="false">
      <c r="A8" s="2" t="s">
        <v>42</v>
      </c>
      <c r="B8" s="3" t="s">
        <v>43</v>
      </c>
      <c r="C8" s="2" t="s">
        <v>16</v>
      </c>
      <c r="D8" s="2" t="s">
        <v>33</v>
      </c>
      <c r="E8" s="3" t="s">
        <v>44</v>
      </c>
      <c r="F8" s="2" t="s">
        <v>5</v>
      </c>
      <c r="G8" s="4" t="n">
        <v>1740</v>
      </c>
      <c r="H8" s="4" t="n">
        <v>2400</v>
      </c>
      <c r="I8" s="5" t="n">
        <f aca="false">(H8-G8)/H8</f>
        <v>0.275</v>
      </c>
      <c r="J8" s="6" t="n">
        <v>396</v>
      </c>
      <c r="K8" s="6" t="n">
        <v>175</v>
      </c>
      <c r="L8" s="7" t="n">
        <v>25</v>
      </c>
      <c r="M8" s="8" t="n">
        <v>45998</v>
      </c>
      <c r="N8" s="2" t="s">
        <v>19</v>
      </c>
    </row>
    <row r="9" customFormat="false" ht="15" hidden="false" customHeight="false" outlineLevel="0" collapsed="false">
      <c r="A9" s="2" t="s">
        <v>45</v>
      </c>
      <c r="B9" s="3" t="s">
        <v>46</v>
      </c>
      <c r="C9" s="2" t="s">
        <v>47</v>
      </c>
      <c r="D9" s="2" t="s">
        <v>48</v>
      </c>
      <c r="E9" s="3" t="s">
        <v>49</v>
      </c>
      <c r="F9" s="2" t="s">
        <v>5</v>
      </c>
      <c r="G9" s="4" t="n">
        <v>10560</v>
      </c>
      <c r="H9" s="4" t="n">
        <v>18190</v>
      </c>
      <c r="I9" s="5" t="n">
        <f aca="false">(H9-G9)/H9</f>
        <v>0.419461242440902</v>
      </c>
      <c r="J9" s="6" t="n">
        <v>3200</v>
      </c>
      <c r="K9" s="6" t="n">
        <v>287</v>
      </c>
      <c r="L9" s="7" t="n">
        <v>11</v>
      </c>
      <c r="M9" s="8" t="n">
        <v>45999</v>
      </c>
      <c r="N9" s="2" t="s">
        <v>19</v>
      </c>
    </row>
    <row r="10" customFormat="false" ht="15" hidden="false" customHeight="false" outlineLevel="0" collapsed="false">
      <c r="A10" s="2" t="s">
        <v>50</v>
      </c>
      <c r="B10" s="3" t="s">
        <v>51</v>
      </c>
      <c r="C10" s="2" t="s">
        <v>22</v>
      </c>
      <c r="D10" s="2" t="s">
        <v>23</v>
      </c>
      <c r="E10" s="3" t="s">
        <v>24</v>
      </c>
      <c r="F10" s="2" t="s">
        <v>5</v>
      </c>
      <c r="G10" s="4" t="n">
        <v>16900</v>
      </c>
      <c r="H10" s="4" t="n">
        <v>29270</v>
      </c>
      <c r="I10" s="5" t="n">
        <f aca="false">(H10-G10)/H10</f>
        <v>0.422617014007516</v>
      </c>
      <c r="J10" s="6" t="n">
        <v>126</v>
      </c>
      <c r="K10" s="6" t="n">
        <v>216</v>
      </c>
      <c r="L10" s="7" t="n">
        <v>12</v>
      </c>
      <c r="M10" s="8" t="n">
        <v>45900</v>
      </c>
      <c r="N10" s="2" t="s">
        <v>36</v>
      </c>
    </row>
    <row r="11" customFormat="false" ht="15" hidden="false" customHeight="false" outlineLevel="0" collapsed="false">
      <c r="A11" s="2" t="s">
        <v>52</v>
      </c>
      <c r="B11" s="3" t="s">
        <v>53</v>
      </c>
      <c r="C11" s="2" t="s">
        <v>28</v>
      </c>
      <c r="D11" s="2" t="s">
        <v>54</v>
      </c>
      <c r="E11" s="3" t="s">
        <v>44</v>
      </c>
      <c r="F11" s="2" t="s">
        <v>30</v>
      </c>
      <c r="G11" s="4" t="n">
        <v>2810</v>
      </c>
      <c r="H11" s="4" t="n">
        <v>3600</v>
      </c>
      <c r="I11" s="5" t="n">
        <f aca="false">(H11-G11)/H11</f>
        <v>0.219444444444444</v>
      </c>
      <c r="J11" s="6" t="n">
        <v>3191</v>
      </c>
      <c r="K11" s="6" t="n">
        <v>328</v>
      </c>
      <c r="L11" s="7" t="n">
        <v>51</v>
      </c>
      <c r="M11" s="8" t="n">
        <v>45947</v>
      </c>
      <c r="N11" s="2" t="s">
        <v>19</v>
      </c>
    </row>
    <row r="12" customFormat="false" ht="15" hidden="false" customHeight="false" outlineLevel="0" collapsed="false">
      <c r="A12" s="2" t="s">
        <v>55</v>
      </c>
      <c r="B12" s="3" t="s">
        <v>56</v>
      </c>
      <c r="C12" s="2" t="s">
        <v>47</v>
      </c>
      <c r="D12" s="2" t="s">
        <v>48</v>
      </c>
      <c r="E12" s="3" t="s">
        <v>49</v>
      </c>
      <c r="F12" s="2" t="s">
        <v>57</v>
      </c>
      <c r="G12" s="4" t="n">
        <v>2590</v>
      </c>
      <c r="H12" s="4" t="n">
        <v>4110</v>
      </c>
      <c r="I12" s="5" t="n">
        <f aca="false">(H12-G12)/H12</f>
        <v>0.369829683698297</v>
      </c>
      <c r="J12" s="6" t="n">
        <v>434</v>
      </c>
      <c r="K12" s="6" t="n">
        <v>419</v>
      </c>
      <c r="L12" s="7" t="n">
        <v>18</v>
      </c>
      <c r="M12" s="8" t="n">
        <v>45962</v>
      </c>
      <c r="N12" s="2" t="s">
        <v>19</v>
      </c>
    </row>
    <row r="13" customFormat="false" ht="15" hidden="false" customHeight="false" outlineLevel="0" collapsed="false">
      <c r="A13" s="2" t="s">
        <v>58</v>
      </c>
      <c r="B13" s="3" t="s">
        <v>59</v>
      </c>
      <c r="C13" s="2" t="s">
        <v>16</v>
      </c>
      <c r="D13" s="2" t="s">
        <v>17</v>
      </c>
      <c r="E13" s="3" t="s">
        <v>18</v>
      </c>
      <c r="F13" s="2" t="s">
        <v>5</v>
      </c>
      <c r="G13" s="4" t="n">
        <v>4990</v>
      </c>
      <c r="H13" s="4" t="n">
        <v>6740</v>
      </c>
      <c r="I13" s="5" t="n">
        <f aca="false">(H13-G13)/H13</f>
        <v>0.259643916913947</v>
      </c>
      <c r="J13" s="6" t="n">
        <v>997</v>
      </c>
      <c r="K13" s="6" t="n">
        <v>302</v>
      </c>
      <c r="L13" s="7" t="n">
        <v>35</v>
      </c>
      <c r="M13" s="8" t="n">
        <v>45993</v>
      </c>
      <c r="N13" s="2" t="s">
        <v>19</v>
      </c>
    </row>
    <row r="14" customFormat="false" ht="15" hidden="false" customHeight="false" outlineLevel="0" collapsed="false">
      <c r="A14" s="2" t="s">
        <v>60</v>
      </c>
      <c r="B14" s="3" t="s">
        <v>61</v>
      </c>
      <c r="C14" s="2" t="s">
        <v>16</v>
      </c>
      <c r="D14" s="2" t="s">
        <v>17</v>
      </c>
      <c r="E14" s="3" t="s">
        <v>40</v>
      </c>
      <c r="F14" s="2" t="s">
        <v>30</v>
      </c>
      <c r="G14" s="4" t="n">
        <v>7700</v>
      </c>
      <c r="H14" s="4" t="n">
        <v>9950</v>
      </c>
      <c r="I14" s="5" t="n">
        <f aca="false">(H14-G14)/H14</f>
        <v>0.226130653266332</v>
      </c>
      <c r="J14" s="6" t="n">
        <v>4298</v>
      </c>
      <c r="K14" s="6" t="n">
        <v>413</v>
      </c>
      <c r="L14" s="7" t="n">
        <v>28</v>
      </c>
      <c r="M14" s="8" t="n">
        <v>45985</v>
      </c>
      <c r="N14" s="2" t="s">
        <v>19</v>
      </c>
    </row>
    <row r="15" customFormat="false" ht="15" hidden="false" customHeight="false" outlineLevel="0" collapsed="false">
      <c r="A15" s="2" t="s">
        <v>62</v>
      </c>
      <c r="B15" s="3" t="s">
        <v>63</v>
      </c>
      <c r="C15" s="2" t="s">
        <v>16</v>
      </c>
      <c r="D15" s="2" t="s">
        <v>33</v>
      </c>
      <c r="E15" s="3" t="s">
        <v>40</v>
      </c>
      <c r="F15" s="2" t="s">
        <v>5</v>
      </c>
      <c r="G15" s="4" t="n">
        <v>9370</v>
      </c>
      <c r="H15" s="4" t="n">
        <v>11620</v>
      </c>
      <c r="I15" s="5" t="n">
        <f aca="false">(H15-G15)/H15</f>
        <v>0.193631669535284</v>
      </c>
      <c r="J15" s="6" t="n">
        <v>1927</v>
      </c>
      <c r="K15" s="6" t="n">
        <v>199</v>
      </c>
      <c r="L15" s="7" t="n">
        <v>36</v>
      </c>
      <c r="M15" s="8" t="n">
        <v>45904</v>
      </c>
      <c r="N15" s="2" t="s">
        <v>19</v>
      </c>
    </row>
    <row r="16" customFormat="false" ht="15" hidden="false" customHeight="false" outlineLevel="0" collapsed="false">
      <c r="A16" s="2" t="s">
        <v>64</v>
      </c>
      <c r="B16" s="3" t="s">
        <v>65</v>
      </c>
      <c r="C16" s="2" t="s">
        <v>47</v>
      </c>
      <c r="D16" s="2" t="s">
        <v>48</v>
      </c>
      <c r="E16" s="3" t="s">
        <v>49</v>
      </c>
      <c r="F16" s="2" t="s">
        <v>30</v>
      </c>
      <c r="G16" s="4" t="n">
        <v>4510</v>
      </c>
      <c r="H16" s="4" t="n">
        <v>7860</v>
      </c>
      <c r="I16" s="5" t="n">
        <f aca="false">(H16-G16)/H16</f>
        <v>0.426208651399491</v>
      </c>
      <c r="J16" s="6" t="n">
        <v>1451</v>
      </c>
      <c r="K16" s="6" t="n">
        <v>378</v>
      </c>
      <c r="L16" s="7" t="n">
        <v>20</v>
      </c>
      <c r="M16" s="8" t="n">
        <v>45908</v>
      </c>
      <c r="N16" s="2" t="s">
        <v>19</v>
      </c>
    </row>
    <row r="17" customFormat="false" ht="15" hidden="false" customHeight="false" outlineLevel="0" collapsed="false">
      <c r="A17" s="2" t="s">
        <v>66</v>
      </c>
      <c r="B17" s="3" t="s">
        <v>67</v>
      </c>
      <c r="C17" s="2" t="s">
        <v>28</v>
      </c>
      <c r="D17" s="2" t="s">
        <v>29</v>
      </c>
      <c r="E17" s="3" t="s">
        <v>40</v>
      </c>
      <c r="F17" s="2" t="s">
        <v>41</v>
      </c>
      <c r="G17" s="4" t="n">
        <v>4570</v>
      </c>
      <c r="H17" s="4" t="n">
        <v>5990</v>
      </c>
      <c r="I17" s="5" t="n">
        <f aca="false">(H17-G17)/H17</f>
        <v>0.237061769616027</v>
      </c>
      <c r="J17" s="6" t="n">
        <v>88</v>
      </c>
      <c r="K17" s="6" t="n">
        <v>411</v>
      </c>
      <c r="L17" s="7" t="n">
        <v>3</v>
      </c>
      <c r="M17" s="8" t="n">
        <v>45694</v>
      </c>
      <c r="N17" s="2" t="s">
        <v>25</v>
      </c>
    </row>
    <row r="18" customFormat="false" ht="15" hidden="false" customHeight="false" outlineLevel="0" collapsed="false">
      <c r="A18" s="2" t="s">
        <v>68</v>
      </c>
      <c r="B18" s="3" t="s">
        <v>69</v>
      </c>
      <c r="C18" s="2" t="s">
        <v>47</v>
      </c>
      <c r="D18" s="2" t="s">
        <v>48</v>
      </c>
      <c r="E18" s="3" t="s">
        <v>49</v>
      </c>
      <c r="F18" s="2" t="s">
        <v>30</v>
      </c>
      <c r="G18" s="4" t="n">
        <v>5780</v>
      </c>
      <c r="H18" s="4" t="n">
        <v>9680</v>
      </c>
      <c r="I18" s="5" t="n">
        <f aca="false">(H18-G18)/H18</f>
        <v>0.402892561983471</v>
      </c>
      <c r="J18" s="6" t="n">
        <v>286</v>
      </c>
      <c r="K18" s="6" t="n">
        <v>497</v>
      </c>
      <c r="L18" s="7" t="n">
        <v>23</v>
      </c>
      <c r="M18" s="8" t="n">
        <v>45823</v>
      </c>
      <c r="N18" s="2" t="s">
        <v>36</v>
      </c>
    </row>
    <row r="19" customFormat="false" ht="15" hidden="false" customHeight="false" outlineLevel="0" collapsed="false">
      <c r="A19" s="2" t="s">
        <v>70</v>
      </c>
      <c r="B19" s="3" t="s">
        <v>71</v>
      </c>
      <c r="C19" s="2" t="s">
        <v>28</v>
      </c>
      <c r="D19" s="2" t="s">
        <v>33</v>
      </c>
      <c r="E19" s="3" t="s">
        <v>18</v>
      </c>
      <c r="F19" s="2" t="s">
        <v>57</v>
      </c>
      <c r="G19" s="4" t="n">
        <v>4550</v>
      </c>
      <c r="H19" s="4" t="n">
        <v>5730</v>
      </c>
      <c r="I19" s="5" t="n">
        <f aca="false">(H19-G19)/H19</f>
        <v>0.205933682373473</v>
      </c>
      <c r="J19" s="6" t="n">
        <v>4273</v>
      </c>
      <c r="K19" s="6" t="n">
        <v>132</v>
      </c>
      <c r="L19" s="7" t="n">
        <v>45</v>
      </c>
      <c r="M19" s="8" t="n">
        <v>45978</v>
      </c>
      <c r="N19" s="2" t="s">
        <v>19</v>
      </c>
    </row>
    <row r="20" customFormat="false" ht="15" hidden="false" customHeight="false" outlineLevel="0" collapsed="false">
      <c r="A20" s="2" t="s">
        <v>72</v>
      </c>
      <c r="B20" s="3" t="s">
        <v>73</v>
      </c>
      <c r="C20" s="2" t="s">
        <v>28</v>
      </c>
      <c r="D20" s="2" t="s">
        <v>29</v>
      </c>
      <c r="E20" s="3" t="s">
        <v>74</v>
      </c>
      <c r="F20" s="2" t="s">
        <v>57</v>
      </c>
      <c r="G20" s="4" t="n">
        <v>3750</v>
      </c>
      <c r="H20" s="4" t="n">
        <v>4580</v>
      </c>
      <c r="I20" s="5" t="n">
        <f aca="false">(H20-G20)/H20</f>
        <v>0.181222707423581</v>
      </c>
      <c r="J20" s="6" t="n">
        <v>62</v>
      </c>
      <c r="K20" s="6" t="n">
        <v>319</v>
      </c>
      <c r="L20" s="7" t="n">
        <v>4</v>
      </c>
      <c r="M20" s="8" t="n">
        <v>45697</v>
      </c>
      <c r="N20" s="2" t="s">
        <v>25</v>
      </c>
    </row>
    <row r="21" customFormat="false" ht="15" hidden="false" customHeight="false" outlineLevel="0" collapsed="false">
      <c r="A21" s="2" t="s">
        <v>75</v>
      </c>
      <c r="B21" s="3" t="s">
        <v>76</v>
      </c>
      <c r="C21" s="2" t="s">
        <v>77</v>
      </c>
      <c r="D21" s="2" t="s">
        <v>78</v>
      </c>
      <c r="E21" s="3" t="s">
        <v>79</v>
      </c>
      <c r="F21" s="2" t="s">
        <v>5</v>
      </c>
      <c r="G21" s="4" t="n">
        <v>5640</v>
      </c>
      <c r="H21" s="4" t="n">
        <v>8610</v>
      </c>
      <c r="I21" s="5" t="n">
        <f aca="false">(H21-G21)/H21</f>
        <v>0.344947735191638</v>
      </c>
      <c r="J21" s="6" t="n">
        <v>341</v>
      </c>
      <c r="K21" s="6" t="n">
        <v>349</v>
      </c>
      <c r="L21" s="7" t="n">
        <v>12</v>
      </c>
      <c r="M21" s="8" t="n">
        <v>46022</v>
      </c>
      <c r="N21" s="2" t="s">
        <v>36</v>
      </c>
    </row>
    <row r="22" customFormat="false" ht="15" hidden="false" customHeight="false" outlineLevel="0" collapsed="false">
      <c r="A22" s="2" t="s">
        <v>80</v>
      </c>
      <c r="B22" s="3" t="s">
        <v>81</v>
      </c>
      <c r="C22" s="2" t="s">
        <v>16</v>
      </c>
      <c r="D22" s="2" t="s">
        <v>33</v>
      </c>
      <c r="E22" s="3" t="s">
        <v>18</v>
      </c>
      <c r="F22" s="2" t="s">
        <v>5</v>
      </c>
      <c r="G22" s="4" t="n">
        <v>5740</v>
      </c>
      <c r="H22" s="4" t="n">
        <v>7380</v>
      </c>
      <c r="I22" s="5" t="n">
        <f aca="false">(H22-G22)/H22</f>
        <v>0.222222222222222</v>
      </c>
      <c r="J22" s="6" t="n">
        <v>306</v>
      </c>
      <c r="K22" s="6" t="n">
        <v>147</v>
      </c>
      <c r="L22" s="7" t="n">
        <v>21</v>
      </c>
      <c r="M22" s="8" t="n">
        <v>45944</v>
      </c>
      <c r="N22" s="2" t="s">
        <v>19</v>
      </c>
    </row>
    <row r="23" customFormat="false" ht="15" hidden="false" customHeight="false" outlineLevel="0" collapsed="false">
      <c r="A23" s="2" t="s">
        <v>82</v>
      </c>
      <c r="B23" s="3" t="s">
        <v>83</v>
      </c>
      <c r="C23" s="2" t="s">
        <v>47</v>
      </c>
      <c r="D23" s="2" t="s">
        <v>48</v>
      </c>
      <c r="E23" s="3" t="s">
        <v>49</v>
      </c>
      <c r="F23" s="2" t="s">
        <v>41</v>
      </c>
      <c r="G23" s="4" t="n">
        <v>4980</v>
      </c>
      <c r="H23" s="4" t="n">
        <v>8480</v>
      </c>
      <c r="I23" s="5" t="n">
        <f aca="false">(H23-G23)/H23</f>
        <v>0.412735849056604</v>
      </c>
      <c r="J23" s="6" t="n">
        <v>58</v>
      </c>
      <c r="K23" s="6" t="n">
        <v>132</v>
      </c>
      <c r="L23" s="7" t="n">
        <v>15</v>
      </c>
      <c r="M23" s="8" t="n">
        <v>45835</v>
      </c>
      <c r="N23" s="2" t="s">
        <v>36</v>
      </c>
    </row>
    <row r="24" customFormat="false" ht="15" hidden="false" customHeight="false" outlineLevel="0" collapsed="false">
      <c r="A24" s="2" t="s">
        <v>84</v>
      </c>
      <c r="B24" s="3" t="s">
        <v>85</v>
      </c>
      <c r="C24" s="2" t="s">
        <v>28</v>
      </c>
      <c r="D24" s="2" t="s">
        <v>33</v>
      </c>
      <c r="E24" s="3" t="s">
        <v>18</v>
      </c>
      <c r="F24" s="2" t="s">
        <v>57</v>
      </c>
      <c r="G24" s="4" t="n">
        <v>2890</v>
      </c>
      <c r="H24" s="4" t="n">
        <v>3450</v>
      </c>
      <c r="I24" s="5" t="n">
        <f aca="false">(H24-G24)/H24</f>
        <v>0.16231884057971</v>
      </c>
      <c r="J24" s="6" t="n">
        <v>2564</v>
      </c>
      <c r="K24" s="6" t="n">
        <v>446</v>
      </c>
      <c r="L24" s="7" t="n">
        <v>36</v>
      </c>
      <c r="M24" s="8" t="n">
        <v>45952</v>
      </c>
      <c r="N24" s="2" t="s">
        <v>19</v>
      </c>
    </row>
    <row r="25" customFormat="false" ht="15" hidden="false" customHeight="false" outlineLevel="0" collapsed="false">
      <c r="A25" s="2" t="s">
        <v>86</v>
      </c>
      <c r="B25" s="3" t="s">
        <v>87</v>
      </c>
      <c r="C25" s="2" t="s">
        <v>77</v>
      </c>
      <c r="D25" s="2" t="s">
        <v>78</v>
      </c>
      <c r="E25" s="3" t="s">
        <v>79</v>
      </c>
      <c r="F25" s="2" t="s">
        <v>5</v>
      </c>
      <c r="G25" s="4" t="n">
        <v>3690</v>
      </c>
      <c r="H25" s="4" t="n">
        <v>5420</v>
      </c>
      <c r="I25" s="5" t="n">
        <f aca="false">(H25-G25)/H25</f>
        <v>0.319188191881919</v>
      </c>
      <c r="J25" s="6" t="n">
        <v>274</v>
      </c>
      <c r="K25" s="6" t="n">
        <v>137</v>
      </c>
      <c r="L25" s="7" t="n">
        <v>12</v>
      </c>
      <c r="M25" s="8" t="n">
        <v>45982</v>
      </c>
      <c r="N25" s="2" t="s">
        <v>19</v>
      </c>
    </row>
    <row r="26" customFormat="false" ht="15" hidden="false" customHeight="false" outlineLevel="0" collapsed="false">
      <c r="A26" s="2" t="s">
        <v>88</v>
      </c>
      <c r="B26" s="3" t="s">
        <v>89</v>
      </c>
      <c r="C26" s="2" t="s">
        <v>16</v>
      </c>
      <c r="D26" s="2" t="s">
        <v>39</v>
      </c>
      <c r="E26" s="3" t="s">
        <v>44</v>
      </c>
      <c r="F26" s="2" t="s">
        <v>30</v>
      </c>
      <c r="G26" s="4" t="n">
        <v>4280</v>
      </c>
      <c r="H26" s="4" t="n">
        <v>5300</v>
      </c>
      <c r="I26" s="5" t="n">
        <f aca="false">(H26-G26)/H26</f>
        <v>0.192452830188679</v>
      </c>
      <c r="J26" s="6" t="n">
        <v>2577</v>
      </c>
      <c r="K26" s="6" t="n">
        <v>383</v>
      </c>
      <c r="L26" s="7" t="n">
        <v>12</v>
      </c>
      <c r="M26" s="8" t="n">
        <v>45980</v>
      </c>
      <c r="N26" s="2" t="s">
        <v>19</v>
      </c>
    </row>
    <row r="27" customFormat="false" ht="15" hidden="false" customHeight="false" outlineLevel="0" collapsed="false">
      <c r="A27" s="2" t="s">
        <v>90</v>
      </c>
      <c r="B27" s="3" t="s">
        <v>91</v>
      </c>
      <c r="C27" s="2" t="s">
        <v>28</v>
      </c>
      <c r="D27" s="2" t="s">
        <v>29</v>
      </c>
      <c r="E27" s="3" t="s">
        <v>18</v>
      </c>
      <c r="F27" s="2" t="s">
        <v>57</v>
      </c>
      <c r="G27" s="4" t="n">
        <v>2830</v>
      </c>
      <c r="H27" s="4" t="n">
        <v>3400</v>
      </c>
      <c r="I27" s="5" t="n">
        <f aca="false">(H27-G27)/H27</f>
        <v>0.167647058823529</v>
      </c>
      <c r="J27" s="6" t="n">
        <v>2107</v>
      </c>
      <c r="K27" s="6" t="n">
        <v>421</v>
      </c>
      <c r="L27" s="7" t="n">
        <v>50</v>
      </c>
      <c r="M27" s="8" t="n">
        <v>45938</v>
      </c>
      <c r="N27" s="2" t="s">
        <v>19</v>
      </c>
    </row>
    <row r="28" customFormat="false" ht="15" hidden="false" customHeight="false" outlineLevel="0" collapsed="false">
      <c r="A28" s="2" t="s">
        <v>92</v>
      </c>
      <c r="B28" s="3" t="s">
        <v>93</v>
      </c>
      <c r="C28" s="2" t="s">
        <v>16</v>
      </c>
      <c r="D28" s="2" t="s">
        <v>39</v>
      </c>
      <c r="E28" s="3" t="s">
        <v>44</v>
      </c>
      <c r="F28" s="2" t="s">
        <v>5</v>
      </c>
      <c r="G28" s="4" t="n">
        <v>6480</v>
      </c>
      <c r="H28" s="4" t="n">
        <v>8920</v>
      </c>
      <c r="I28" s="5" t="n">
        <f aca="false">(H28-G28)/H28</f>
        <v>0.273542600896861</v>
      </c>
      <c r="J28" s="6" t="n">
        <v>4487</v>
      </c>
      <c r="K28" s="6" t="n">
        <v>432</v>
      </c>
      <c r="L28" s="7" t="n">
        <v>15</v>
      </c>
      <c r="M28" s="8" t="n">
        <v>45970</v>
      </c>
      <c r="N28" s="2" t="s">
        <v>19</v>
      </c>
    </row>
    <row r="29" customFormat="false" ht="15" hidden="false" customHeight="false" outlineLevel="0" collapsed="false">
      <c r="A29" s="2" t="s">
        <v>94</v>
      </c>
      <c r="B29" s="3" t="s">
        <v>95</v>
      </c>
      <c r="C29" s="2" t="s">
        <v>47</v>
      </c>
      <c r="D29" s="2" t="s">
        <v>48</v>
      </c>
      <c r="E29" s="3" t="s">
        <v>49</v>
      </c>
      <c r="F29" s="2" t="s">
        <v>30</v>
      </c>
      <c r="G29" s="4" t="n">
        <v>5580</v>
      </c>
      <c r="H29" s="4" t="n">
        <v>8900</v>
      </c>
      <c r="I29" s="5" t="n">
        <f aca="false">(H29-G29)/H29</f>
        <v>0.373033707865169</v>
      </c>
      <c r="J29" s="6" t="n">
        <v>1605</v>
      </c>
      <c r="K29" s="6" t="n">
        <v>461</v>
      </c>
      <c r="L29" s="7" t="n">
        <v>5</v>
      </c>
      <c r="M29" s="8" t="n">
        <v>45952</v>
      </c>
      <c r="N29" s="2" t="s">
        <v>19</v>
      </c>
    </row>
    <row r="30" customFormat="false" ht="15" hidden="false" customHeight="false" outlineLevel="0" collapsed="false">
      <c r="A30" s="2" t="s">
        <v>96</v>
      </c>
      <c r="B30" s="3" t="s">
        <v>97</v>
      </c>
      <c r="C30" s="2" t="s">
        <v>22</v>
      </c>
      <c r="D30" s="2" t="s">
        <v>23</v>
      </c>
      <c r="E30" s="3" t="s">
        <v>79</v>
      </c>
      <c r="F30" s="2" t="s">
        <v>5</v>
      </c>
      <c r="G30" s="4" t="n">
        <v>14010</v>
      </c>
      <c r="H30" s="4" t="n">
        <v>24670</v>
      </c>
      <c r="I30" s="5" t="n">
        <f aca="false">(H30-G30)/H30</f>
        <v>0.432103769760843</v>
      </c>
      <c r="J30" s="6" t="n">
        <v>97</v>
      </c>
      <c r="K30" s="6" t="n">
        <v>128</v>
      </c>
      <c r="L30" s="7" t="n">
        <v>9</v>
      </c>
      <c r="M30" s="8" t="n">
        <v>45938</v>
      </c>
      <c r="N30" s="2" t="s">
        <v>36</v>
      </c>
    </row>
    <row r="31" customFormat="false" ht="15" hidden="false" customHeight="false" outlineLevel="0" collapsed="false">
      <c r="A31" s="2" t="s">
        <v>98</v>
      </c>
      <c r="B31" s="3" t="s">
        <v>99</v>
      </c>
      <c r="C31" s="2" t="s">
        <v>28</v>
      </c>
      <c r="D31" s="2" t="s">
        <v>29</v>
      </c>
      <c r="E31" s="3" t="s">
        <v>44</v>
      </c>
      <c r="F31" s="2" t="s">
        <v>57</v>
      </c>
      <c r="G31" s="4" t="n">
        <v>4220</v>
      </c>
      <c r="H31" s="4" t="n">
        <v>5060</v>
      </c>
      <c r="I31" s="5" t="n">
        <f aca="false">(H31-G31)/H31</f>
        <v>0.16600790513834</v>
      </c>
      <c r="J31" s="6" t="n">
        <v>2928</v>
      </c>
      <c r="K31" s="6" t="n">
        <v>234</v>
      </c>
      <c r="L31" s="7" t="n">
        <v>36</v>
      </c>
      <c r="M31" s="8" t="n">
        <v>45971</v>
      </c>
      <c r="N31" s="2" t="s">
        <v>19</v>
      </c>
    </row>
    <row r="32" customFormat="false" ht="15" hidden="false" customHeight="false" outlineLevel="0" collapsed="false">
      <c r="A32" s="2" t="s">
        <v>100</v>
      </c>
      <c r="B32" s="3" t="s">
        <v>101</v>
      </c>
      <c r="C32" s="2" t="s">
        <v>77</v>
      </c>
      <c r="D32" s="2" t="s">
        <v>102</v>
      </c>
      <c r="E32" s="3" t="s">
        <v>24</v>
      </c>
      <c r="F32" s="2" t="s">
        <v>57</v>
      </c>
      <c r="G32" s="4" t="n">
        <v>3010</v>
      </c>
      <c r="H32" s="4" t="n">
        <v>4230</v>
      </c>
      <c r="I32" s="5" t="n">
        <f aca="false">(H32-G32)/H32</f>
        <v>0.288416075650118</v>
      </c>
      <c r="J32" s="6" t="n">
        <v>2390</v>
      </c>
      <c r="K32" s="6" t="n">
        <v>357</v>
      </c>
      <c r="L32" s="7" t="n">
        <v>13</v>
      </c>
      <c r="M32" s="8" t="n">
        <v>45965</v>
      </c>
      <c r="N32" s="2" t="s">
        <v>19</v>
      </c>
    </row>
    <row r="33" customFormat="false" ht="15" hidden="false" customHeight="false" outlineLevel="0" collapsed="false">
      <c r="A33" s="2" t="s">
        <v>103</v>
      </c>
      <c r="B33" s="3" t="s">
        <v>104</v>
      </c>
      <c r="C33" s="2" t="s">
        <v>47</v>
      </c>
      <c r="D33" s="2" t="s">
        <v>48</v>
      </c>
      <c r="E33" s="3" t="s">
        <v>49</v>
      </c>
      <c r="F33" s="2" t="s">
        <v>57</v>
      </c>
      <c r="G33" s="4" t="n">
        <v>2850</v>
      </c>
      <c r="H33" s="4" t="n">
        <v>4450</v>
      </c>
      <c r="I33" s="5" t="n">
        <f aca="false">(H33-G33)/H33</f>
        <v>0.359550561797753</v>
      </c>
      <c r="J33" s="6" t="n">
        <v>2575</v>
      </c>
      <c r="K33" s="6" t="n">
        <v>121</v>
      </c>
      <c r="L33" s="7" t="n">
        <v>21</v>
      </c>
      <c r="M33" s="8" t="n">
        <v>45939</v>
      </c>
      <c r="N33" s="2" t="s">
        <v>19</v>
      </c>
    </row>
    <row r="34" customFormat="false" ht="15" hidden="false" customHeight="false" outlineLevel="0" collapsed="false">
      <c r="A34" s="2" t="s">
        <v>105</v>
      </c>
      <c r="B34" s="3" t="s">
        <v>106</v>
      </c>
      <c r="C34" s="2" t="s">
        <v>16</v>
      </c>
      <c r="D34" s="2" t="s">
        <v>33</v>
      </c>
      <c r="E34" s="3" t="s">
        <v>18</v>
      </c>
      <c r="F34" s="2" t="s">
        <v>30</v>
      </c>
      <c r="G34" s="4" t="n">
        <v>4480</v>
      </c>
      <c r="H34" s="4" t="n">
        <v>5910</v>
      </c>
      <c r="I34" s="5" t="n">
        <f aca="false">(H34-G34)/H34</f>
        <v>0.241962774957699</v>
      </c>
      <c r="J34" s="6" t="n">
        <v>3982</v>
      </c>
      <c r="K34" s="6" t="n">
        <v>466</v>
      </c>
      <c r="L34" s="7" t="n">
        <v>15</v>
      </c>
      <c r="M34" s="8" t="n">
        <v>45994</v>
      </c>
      <c r="N34" s="2" t="s">
        <v>19</v>
      </c>
    </row>
    <row r="35" customFormat="false" ht="15" hidden="false" customHeight="false" outlineLevel="0" collapsed="false">
      <c r="A35" s="2" t="s">
        <v>107</v>
      </c>
      <c r="B35" s="3" t="s">
        <v>108</v>
      </c>
      <c r="C35" s="2" t="s">
        <v>28</v>
      </c>
      <c r="D35" s="2" t="s">
        <v>33</v>
      </c>
      <c r="E35" s="3" t="s">
        <v>18</v>
      </c>
      <c r="F35" s="2" t="s">
        <v>30</v>
      </c>
      <c r="G35" s="4" t="n">
        <v>6850</v>
      </c>
      <c r="H35" s="4" t="n">
        <v>8630</v>
      </c>
      <c r="I35" s="5" t="n">
        <f aca="false">(H35-G35)/H35</f>
        <v>0.206257242178447</v>
      </c>
      <c r="J35" s="6" t="n">
        <v>2423</v>
      </c>
      <c r="K35" s="6" t="n">
        <v>420</v>
      </c>
      <c r="L35" s="7" t="n">
        <v>42</v>
      </c>
      <c r="M35" s="8" t="n">
        <v>45963</v>
      </c>
      <c r="N35" s="2" t="s">
        <v>19</v>
      </c>
    </row>
    <row r="36" customFormat="false" ht="15" hidden="false" customHeight="false" outlineLevel="0" collapsed="false">
      <c r="A36" s="2" t="s">
        <v>109</v>
      </c>
      <c r="B36" s="3" t="s">
        <v>110</v>
      </c>
      <c r="C36" s="2" t="s">
        <v>22</v>
      </c>
      <c r="D36" s="2" t="s">
        <v>111</v>
      </c>
      <c r="E36" s="3" t="s">
        <v>79</v>
      </c>
      <c r="F36" s="2" t="s">
        <v>5</v>
      </c>
      <c r="G36" s="4" t="n">
        <v>14550</v>
      </c>
      <c r="H36" s="4" t="n">
        <v>21080</v>
      </c>
      <c r="I36" s="5" t="n">
        <f aca="false">(H36-G36)/H36</f>
        <v>0.30977229601518</v>
      </c>
      <c r="J36" s="6" t="n">
        <v>2404</v>
      </c>
      <c r="K36" s="6" t="n">
        <v>229</v>
      </c>
      <c r="L36" s="7" t="n">
        <v>12</v>
      </c>
      <c r="M36" s="8" t="n">
        <v>45931</v>
      </c>
      <c r="N36" s="2" t="s">
        <v>19</v>
      </c>
    </row>
    <row r="37" customFormat="false" ht="15" hidden="false" customHeight="false" outlineLevel="0" collapsed="false">
      <c r="A37" s="2" t="s">
        <v>112</v>
      </c>
      <c r="B37" s="3" t="s">
        <v>113</v>
      </c>
      <c r="C37" s="2" t="s">
        <v>16</v>
      </c>
      <c r="D37" s="2" t="s">
        <v>39</v>
      </c>
      <c r="E37" s="3" t="s">
        <v>44</v>
      </c>
      <c r="F37" s="2" t="s">
        <v>30</v>
      </c>
      <c r="G37" s="4" t="n">
        <v>7800</v>
      </c>
      <c r="H37" s="4" t="n">
        <v>9910</v>
      </c>
      <c r="I37" s="5" t="n">
        <f aca="false">(H37-G37)/H37</f>
        <v>0.212916246215944</v>
      </c>
      <c r="J37" s="6" t="n">
        <v>1547</v>
      </c>
      <c r="K37" s="6" t="n">
        <v>454</v>
      </c>
      <c r="L37" s="7" t="n">
        <v>28</v>
      </c>
      <c r="M37" s="8" t="n">
        <v>45902</v>
      </c>
      <c r="N37" s="2" t="s">
        <v>19</v>
      </c>
    </row>
    <row r="38" customFormat="false" ht="15" hidden="false" customHeight="false" outlineLevel="0" collapsed="false">
      <c r="A38" s="2" t="s">
        <v>114</v>
      </c>
      <c r="B38" s="3" t="s">
        <v>115</v>
      </c>
      <c r="C38" s="2" t="s">
        <v>47</v>
      </c>
      <c r="D38" s="2" t="s">
        <v>48</v>
      </c>
      <c r="E38" s="3" t="s">
        <v>49</v>
      </c>
      <c r="F38" s="2" t="s">
        <v>30</v>
      </c>
      <c r="G38" s="4" t="n">
        <v>4260</v>
      </c>
      <c r="H38" s="4" t="n">
        <v>7430</v>
      </c>
      <c r="I38" s="5" t="n">
        <f aca="false">(H38-G38)/H38</f>
        <v>0.426648721399731</v>
      </c>
      <c r="J38" s="6" t="n">
        <v>43</v>
      </c>
      <c r="K38" s="6" t="n">
        <v>381</v>
      </c>
      <c r="L38" s="7" t="n">
        <v>31</v>
      </c>
      <c r="M38" s="8" t="n">
        <v>45930</v>
      </c>
      <c r="N38" s="2" t="s">
        <v>36</v>
      </c>
    </row>
    <row r="39" customFormat="false" ht="15" hidden="false" customHeight="false" outlineLevel="0" collapsed="false">
      <c r="A39" s="2" t="s">
        <v>116</v>
      </c>
      <c r="B39" s="3" t="s">
        <v>117</v>
      </c>
      <c r="C39" s="2" t="s">
        <v>16</v>
      </c>
      <c r="D39" s="2" t="s">
        <v>118</v>
      </c>
      <c r="E39" s="3" t="s">
        <v>44</v>
      </c>
      <c r="F39" s="2" t="s">
        <v>5</v>
      </c>
      <c r="G39" s="4" t="n">
        <v>10110</v>
      </c>
      <c r="H39" s="4" t="n">
        <v>13150</v>
      </c>
      <c r="I39" s="5" t="n">
        <f aca="false">(H39-G39)/H39</f>
        <v>0.231178707224335</v>
      </c>
      <c r="J39" s="6" t="n">
        <v>4538</v>
      </c>
      <c r="K39" s="6" t="n">
        <v>460</v>
      </c>
      <c r="L39" s="7" t="n">
        <v>33</v>
      </c>
      <c r="M39" s="8" t="n">
        <v>46015</v>
      </c>
      <c r="N39" s="2" t="s">
        <v>19</v>
      </c>
    </row>
    <row r="40" customFormat="false" ht="15" hidden="false" customHeight="false" outlineLevel="0" collapsed="false">
      <c r="A40" s="2" t="s">
        <v>119</v>
      </c>
      <c r="B40" s="3" t="s">
        <v>120</v>
      </c>
      <c r="C40" s="2" t="s">
        <v>28</v>
      </c>
      <c r="D40" s="2" t="s">
        <v>39</v>
      </c>
      <c r="E40" s="3" t="s">
        <v>74</v>
      </c>
      <c r="F40" s="2" t="s">
        <v>30</v>
      </c>
      <c r="G40" s="4" t="n">
        <v>6090</v>
      </c>
      <c r="H40" s="4" t="n">
        <v>7530</v>
      </c>
      <c r="I40" s="5" t="n">
        <f aca="false">(H40-G40)/H40</f>
        <v>0.191235059760956</v>
      </c>
      <c r="J40" s="6" t="n">
        <v>175</v>
      </c>
      <c r="K40" s="6" t="n">
        <v>161</v>
      </c>
      <c r="L40" s="7" t="n">
        <v>35</v>
      </c>
      <c r="M40" s="8" t="n">
        <v>45942</v>
      </c>
      <c r="N40" s="2" t="s">
        <v>19</v>
      </c>
    </row>
    <row r="41" customFormat="false" ht="15" hidden="false" customHeight="false" outlineLevel="0" collapsed="false">
      <c r="A41" s="2" t="s">
        <v>121</v>
      </c>
      <c r="B41" s="3" t="s">
        <v>122</v>
      </c>
      <c r="C41" s="2" t="s">
        <v>16</v>
      </c>
      <c r="D41" s="2" t="s">
        <v>39</v>
      </c>
      <c r="E41" s="3" t="s">
        <v>44</v>
      </c>
      <c r="F41" s="2" t="s">
        <v>5</v>
      </c>
      <c r="G41" s="4" t="n">
        <v>1620</v>
      </c>
      <c r="H41" s="4" t="n">
        <v>2170</v>
      </c>
      <c r="I41" s="5" t="n">
        <f aca="false">(H41-G41)/H41</f>
        <v>0.253456221198157</v>
      </c>
      <c r="J41" s="6" t="n">
        <v>4959</v>
      </c>
      <c r="K41" s="6" t="n">
        <v>133</v>
      </c>
      <c r="L41" s="7" t="n">
        <v>18</v>
      </c>
      <c r="M41" s="8" t="n">
        <v>45910</v>
      </c>
      <c r="N41" s="2" t="s">
        <v>19</v>
      </c>
    </row>
    <row r="42" customFormat="false" ht="15" hidden="false" customHeight="false" outlineLevel="0" collapsed="false">
      <c r="A42" s="2" t="s">
        <v>123</v>
      </c>
      <c r="B42" s="3" t="s">
        <v>124</v>
      </c>
      <c r="C42" s="2" t="s">
        <v>22</v>
      </c>
      <c r="D42" s="2" t="s">
        <v>23</v>
      </c>
      <c r="E42" s="3" t="s">
        <v>79</v>
      </c>
      <c r="F42" s="2" t="s">
        <v>30</v>
      </c>
      <c r="G42" s="4" t="n">
        <v>10980</v>
      </c>
      <c r="H42" s="4" t="n">
        <v>16820</v>
      </c>
      <c r="I42" s="5" t="n">
        <f aca="false">(H42-G42)/H42</f>
        <v>0.347205707491082</v>
      </c>
      <c r="J42" s="6" t="n">
        <v>3596</v>
      </c>
      <c r="K42" s="6" t="n">
        <v>319</v>
      </c>
      <c r="L42" s="7" t="n">
        <v>13</v>
      </c>
      <c r="M42" s="8" t="n">
        <v>46017</v>
      </c>
      <c r="N42" s="2" t="s">
        <v>19</v>
      </c>
    </row>
    <row r="43" customFormat="false" ht="15" hidden="false" customHeight="false" outlineLevel="0" collapsed="false">
      <c r="A43" s="2" t="s">
        <v>125</v>
      </c>
      <c r="B43" s="3" t="s">
        <v>126</v>
      </c>
      <c r="C43" s="2" t="s">
        <v>28</v>
      </c>
      <c r="D43" s="2" t="s">
        <v>29</v>
      </c>
      <c r="E43" s="3" t="s">
        <v>44</v>
      </c>
      <c r="F43" s="2" t="s">
        <v>30</v>
      </c>
      <c r="G43" s="4" t="n">
        <v>1340</v>
      </c>
      <c r="H43" s="4" t="n">
        <v>1770</v>
      </c>
      <c r="I43" s="5" t="n">
        <f aca="false">(H43-G43)/H43</f>
        <v>0.242937853107345</v>
      </c>
      <c r="J43" s="6" t="n">
        <v>2649</v>
      </c>
      <c r="K43" s="6" t="n">
        <v>341</v>
      </c>
      <c r="L43" s="7" t="n">
        <v>28</v>
      </c>
      <c r="M43" s="8" t="n">
        <v>45939</v>
      </c>
      <c r="N43" s="2" t="s">
        <v>19</v>
      </c>
    </row>
    <row r="44" customFormat="false" ht="15" hidden="false" customHeight="false" outlineLevel="0" collapsed="false">
      <c r="A44" s="2" t="s">
        <v>127</v>
      </c>
      <c r="B44" s="3" t="s">
        <v>128</v>
      </c>
      <c r="C44" s="2" t="s">
        <v>16</v>
      </c>
      <c r="D44" s="2" t="s">
        <v>129</v>
      </c>
      <c r="E44" s="3" t="s">
        <v>18</v>
      </c>
      <c r="F44" s="2" t="s">
        <v>30</v>
      </c>
      <c r="G44" s="4" t="n">
        <v>3260</v>
      </c>
      <c r="H44" s="4" t="n">
        <v>4060</v>
      </c>
      <c r="I44" s="5" t="n">
        <f aca="false">(H44-G44)/H44</f>
        <v>0.197044334975369</v>
      </c>
      <c r="J44" s="6" t="n">
        <v>4064</v>
      </c>
      <c r="K44" s="6" t="n">
        <v>354</v>
      </c>
      <c r="L44" s="7" t="n">
        <v>17</v>
      </c>
      <c r="M44" s="8" t="n">
        <v>46017</v>
      </c>
      <c r="N44" s="2" t="s">
        <v>19</v>
      </c>
    </row>
    <row r="45" customFormat="false" ht="15" hidden="false" customHeight="false" outlineLevel="0" collapsed="false">
      <c r="A45" s="2" t="s">
        <v>130</v>
      </c>
      <c r="B45" s="3" t="s">
        <v>131</v>
      </c>
      <c r="C45" s="2" t="s">
        <v>16</v>
      </c>
      <c r="D45" s="2" t="s">
        <v>129</v>
      </c>
      <c r="E45" s="3" t="s">
        <v>44</v>
      </c>
      <c r="F45" s="2" t="s">
        <v>30</v>
      </c>
      <c r="G45" s="4" t="n">
        <v>2450</v>
      </c>
      <c r="H45" s="4" t="n">
        <v>3120</v>
      </c>
      <c r="I45" s="5" t="n">
        <f aca="false">(H45-G45)/H45</f>
        <v>0.21474358974359</v>
      </c>
      <c r="J45" s="6" t="n">
        <v>4888</v>
      </c>
      <c r="K45" s="6" t="n">
        <v>222</v>
      </c>
      <c r="L45" s="7" t="n">
        <v>14</v>
      </c>
      <c r="M45" s="8" t="n">
        <v>45926</v>
      </c>
      <c r="N45" s="2" t="s">
        <v>19</v>
      </c>
    </row>
    <row r="46" customFormat="false" ht="15" hidden="false" customHeight="false" outlineLevel="0" collapsed="false">
      <c r="A46" s="2" t="s">
        <v>132</v>
      </c>
      <c r="B46" s="3" t="s">
        <v>133</v>
      </c>
      <c r="C46" s="2" t="s">
        <v>28</v>
      </c>
      <c r="D46" s="2" t="s">
        <v>39</v>
      </c>
      <c r="E46" s="3" t="s">
        <v>44</v>
      </c>
      <c r="F46" s="2" t="s">
        <v>41</v>
      </c>
      <c r="G46" s="4" t="n">
        <v>7770</v>
      </c>
      <c r="H46" s="4" t="n">
        <v>9280</v>
      </c>
      <c r="I46" s="5" t="n">
        <f aca="false">(H46-G46)/H46</f>
        <v>0.162715517241379</v>
      </c>
      <c r="J46" s="6" t="n">
        <v>2191</v>
      </c>
      <c r="K46" s="6" t="n">
        <v>422</v>
      </c>
      <c r="L46" s="7" t="n">
        <v>38</v>
      </c>
      <c r="M46" s="8" t="n">
        <v>45912</v>
      </c>
      <c r="N46" s="2" t="s">
        <v>19</v>
      </c>
    </row>
    <row r="47" customFormat="false" ht="15" hidden="false" customHeight="false" outlineLevel="0" collapsed="false">
      <c r="A47" s="2" t="s">
        <v>134</v>
      </c>
      <c r="B47" s="3" t="s">
        <v>135</v>
      </c>
      <c r="C47" s="2" t="s">
        <v>47</v>
      </c>
      <c r="D47" s="2" t="s">
        <v>48</v>
      </c>
      <c r="E47" s="3" t="s">
        <v>49</v>
      </c>
      <c r="F47" s="2" t="s">
        <v>57</v>
      </c>
      <c r="G47" s="4" t="n">
        <v>1010</v>
      </c>
      <c r="H47" s="4" t="n">
        <v>1580</v>
      </c>
      <c r="I47" s="5" t="n">
        <f aca="false">(H47-G47)/H47</f>
        <v>0.360759493670886</v>
      </c>
      <c r="J47" s="6" t="n">
        <v>2607</v>
      </c>
      <c r="K47" s="6" t="n">
        <v>119</v>
      </c>
      <c r="L47" s="7" t="n">
        <v>24</v>
      </c>
      <c r="M47" s="8" t="n">
        <v>45917</v>
      </c>
      <c r="N47" s="2" t="s">
        <v>19</v>
      </c>
    </row>
    <row r="48" customFormat="false" ht="15" hidden="false" customHeight="false" outlineLevel="0" collapsed="false">
      <c r="A48" s="2" t="s">
        <v>136</v>
      </c>
      <c r="B48" s="3" t="s">
        <v>137</v>
      </c>
      <c r="C48" s="2" t="s">
        <v>28</v>
      </c>
      <c r="D48" s="2" t="s">
        <v>39</v>
      </c>
      <c r="E48" s="3" t="s">
        <v>18</v>
      </c>
      <c r="F48" s="2" t="s">
        <v>30</v>
      </c>
      <c r="G48" s="4" t="n">
        <v>2590</v>
      </c>
      <c r="H48" s="4" t="n">
        <v>3210</v>
      </c>
      <c r="I48" s="5" t="n">
        <f aca="false">(H48-G48)/H48</f>
        <v>0.193146417445483</v>
      </c>
      <c r="J48" s="6" t="n">
        <v>215</v>
      </c>
      <c r="K48" s="6" t="n">
        <v>352</v>
      </c>
      <c r="L48" s="7" t="n">
        <v>4</v>
      </c>
      <c r="M48" s="8" t="n">
        <v>45750</v>
      </c>
      <c r="N48" s="2" t="s">
        <v>25</v>
      </c>
    </row>
    <row r="49" customFormat="false" ht="15" hidden="false" customHeight="false" outlineLevel="0" collapsed="false">
      <c r="A49" s="2" t="s">
        <v>138</v>
      </c>
      <c r="B49" s="3" t="s">
        <v>139</v>
      </c>
      <c r="C49" s="2" t="s">
        <v>16</v>
      </c>
      <c r="D49" s="2" t="s">
        <v>17</v>
      </c>
      <c r="E49" s="3" t="s">
        <v>74</v>
      </c>
      <c r="F49" s="2" t="s">
        <v>30</v>
      </c>
      <c r="G49" s="4" t="n">
        <v>3450</v>
      </c>
      <c r="H49" s="4" t="n">
        <v>4750</v>
      </c>
      <c r="I49" s="5" t="n">
        <f aca="false">(H49-G49)/H49</f>
        <v>0.273684210526316</v>
      </c>
      <c r="J49" s="6" t="n">
        <v>3217</v>
      </c>
      <c r="K49" s="6" t="n">
        <v>116</v>
      </c>
      <c r="L49" s="7" t="n">
        <v>30</v>
      </c>
      <c r="M49" s="8" t="n">
        <v>46008</v>
      </c>
      <c r="N49" s="2" t="s">
        <v>19</v>
      </c>
    </row>
    <row r="50" customFormat="false" ht="15" hidden="false" customHeight="false" outlineLevel="0" collapsed="false">
      <c r="A50" s="2" t="s">
        <v>140</v>
      </c>
      <c r="B50" s="3" t="s">
        <v>141</v>
      </c>
      <c r="C50" s="2" t="s">
        <v>28</v>
      </c>
      <c r="D50" s="2" t="s">
        <v>29</v>
      </c>
      <c r="E50" s="3" t="s">
        <v>74</v>
      </c>
      <c r="F50" s="2" t="s">
        <v>30</v>
      </c>
      <c r="G50" s="4" t="n">
        <v>6380</v>
      </c>
      <c r="H50" s="4" t="n">
        <v>7790</v>
      </c>
      <c r="I50" s="5" t="n">
        <f aca="false">(H50-G50)/H50</f>
        <v>0.181001283697048</v>
      </c>
      <c r="J50" s="6" t="n">
        <v>50</v>
      </c>
      <c r="K50" s="6" t="n">
        <v>144</v>
      </c>
      <c r="L50" s="7" t="n">
        <v>5</v>
      </c>
      <c r="M50" s="8" t="n">
        <v>45753</v>
      </c>
      <c r="N50" s="2" t="s">
        <v>25</v>
      </c>
    </row>
    <row r="51" customFormat="false" ht="15" hidden="false" customHeight="false" outlineLevel="0" collapsed="false">
      <c r="A51" s="2" t="s">
        <v>142</v>
      </c>
      <c r="B51" s="3" t="s">
        <v>143</v>
      </c>
      <c r="C51" s="2" t="s">
        <v>22</v>
      </c>
      <c r="D51" s="2" t="s">
        <v>144</v>
      </c>
      <c r="E51" s="3" t="s">
        <v>145</v>
      </c>
      <c r="F51" s="2" t="s">
        <v>30</v>
      </c>
      <c r="G51" s="4" t="n">
        <v>4480</v>
      </c>
      <c r="H51" s="4" t="n">
        <v>7020</v>
      </c>
      <c r="I51" s="5" t="n">
        <f aca="false">(H51-G51)/H51</f>
        <v>0.361823361823362</v>
      </c>
      <c r="J51" s="6" t="n">
        <v>3568</v>
      </c>
      <c r="K51" s="6" t="n">
        <v>492</v>
      </c>
      <c r="L51" s="7" t="n">
        <v>13</v>
      </c>
      <c r="M51" s="8" t="n">
        <v>45905</v>
      </c>
      <c r="N51" s="2" t="s">
        <v>19</v>
      </c>
    </row>
    <row r="52" customFormat="false" ht="15" hidden="false" customHeight="false" outlineLevel="0" collapsed="false">
      <c r="A52" s="2" t="s">
        <v>146</v>
      </c>
      <c r="B52" s="3" t="s">
        <v>147</v>
      </c>
      <c r="C52" s="2" t="s">
        <v>47</v>
      </c>
      <c r="D52" s="2" t="s">
        <v>48</v>
      </c>
      <c r="E52" s="3" t="s">
        <v>49</v>
      </c>
      <c r="F52" s="2" t="s">
        <v>57</v>
      </c>
      <c r="G52" s="4" t="n">
        <v>6080</v>
      </c>
      <c r="H52" s="4" t="n">
        <v>10570</v>
      </c>
      <c r="I52" s="5" t="n">
        <f aca="false">(H52-G52)/H52</f>
        <v>0.424787133396405</v>
      </c>
      <c r="J52" s="6" t="n">
        <v>3017</v>
      </c>
      <c r="K52" s="6" t="n">
        <v>273</v>
      </c>
      <c r="L52" s="7" t="n">
        <v>11</v>
      </c>
      <c r="M52" s="8" t="n">
        <v>45979</v>
      </c>
      <c r="N52" s="2" t="s">
        <v>19</v>
      </c>
    </row>
    <row r="53" customFormat="false" ht="15" hidden="false" customHeight="false" outlineLevel="0" collapsed="false">
      <c r="A53" s="2" t="s">
        <v>148</v>
      </c>
      <c r="B53" s="3" t="s">
        <v>149</v>
      </c>
      <c r="C53" s="2" t="s">
        <v>47</v>
      </c>
      <c r="D53" s="2" t="s">
        <v>48</v>
      </c>
      <c r="E53" s="3" t="s">
        <v>49</v>
      </c>
      <c r="F53" s="2" t="s">
        <v>30</v>
      </c>
      <c r="G53" s="4" t="n">
        <v>9850</v>
      </c>
      <c r="H53" s="4" t="n">
        <v>16550</v>
      </c>
      <c r="I53" s="5" t="n">
        <f aca="false">(H53-G53)/H53</f>
        <v>0.404833836858006</v>
      </c>
      <c r="J53" s="6" t="n">
        <v>4657</v>
      </c>
      <c r="K53" s="6" t="n">
        <v>151</v>
      </c>
      <c r="L53" s="7" t="n">
        <v>8</v>
      </c>
      <c r="M53" s="8" t="n">
        <v>45920</v>
      </c>
      <c r="N53" s="2" t="s">
        <v>19</v>
      </c>
    </row>
    <row r="54" customFormat="false" ht="15" hidden="false" customHeight="false" outlineLevel="0" collapsed="false">
      <c r="A54" s="2" t="s">
        <v>150</v>
      </c>
      <c r="B54" s="3" t="s">
        <v>151</v>
      </c>
      <c r="C54" s="2" t="s">
        <v>28</v>
      </c>
      <c r="D54" s="2" t="s">
        <v>29</v>
      </c>
      <c r="E54" s="3" t="s">
        <v>74</v>
      </c>
      <c r="F54" s="2" t="s">
        <v>41</v>
      </c>
      <c r="G54" s="4" t="n">
        <v>6920</v>
      </c>
      <c r="H54" s="4" t="n">
        <v>9020</v>
      </c>
      <c r="I54" s="5" t="n">
        <f aca="false">(H54-G54)/H54</f>
        <v>0.232815964523282</v>
      </c>
      <c r="J54" s="6" t="n">
        <v>40</v>
      </c>
      <c r="K54" s="6" t="n">
        <v>211</v>
      </c>
      <c r="L54" s="7" t="n">
        <v>6</v>
      </c>
      <c r="M54" s="8" t="n">
        <v>45756</v>
      </c>
      <c r="N54" s="2" t="s">
        <v>25</v>
      </c>
    </row>
    <row r="55" customFormat="false" ht="15" hidden="false" customHeight="false" outlineLevel="0" collapsed="false">
      <c r="A55" s="2" t="s">
        <v>152</v>
      </c>
      <c r="B55" s="3" t="s">
        <v>153</v>
      </c>
      <c r="C55" s="2" t="s">
        <v>77</v>
      </c>
      <c r="D55" s="2" t="s">
        <v>154</v>
      </c>
      <c r="E55" s="3" t="s">
        <v>145</v>
      </c>
      <c r="F55" s="2" t="s">
        <v>5</v>
      </c>
      <c r="G55" s="4" t="n">
        <v>4410</v>
      </c>
      <c r="H55" s="4" t="n">
        <v>6390</v>
      </c>
      <c r="I55" s="5" t="n">
        <f aca="false">(H55-G55)/H55</f>
        <v>0.309859154929577</v>
      </c>
      <c r="J55" s="6" t="n">
        <v>3862</v>
      </c>
      <c r="K55" s="6" t="n">
        <v>421</v>
      </c>
      <c r="L55" s="7" t="n">
        <v>14</v>
      </c>
      <c r="M55" s="8" t="n">
        <v>45940</v>
      </c>
      <c r="N55" s="2" t="s">
        <v>19</v>
      </c>
    </row>
    <row r="56" customFormat="false" ht="15" hidden="false" customHeight="false" outlineLevel="0" collapsed="false">
      <c r="A56" s="2" t="s">
        <v>155</v>
      </c>
      <c r="B56" s="3" t="s">
        <v>156</v>
      </c>
      <c r="C56" s="2" t="s">
        <v>16</v>
      </c>
      <c r="D56" s="2" t="s">
        <v>39</v>
      </c>
      <c r="E56" s="3" t="s">
        <v>40</v>
      </c>
      <c r="F56" s="2" t="s">
        <v>30</v>
      </c>
      <c r="G56" s="4" t="n">
        <v>2880</v>
      </c>
      <c r="H56" s="4" t="n">
        <v>3940</v>
      </c>
      <c r="I56" s="5" t="n">
        <f aca="false">(H56-G56)/H56</f>
        <v>0.269035532994924</v>
      </c>
      <c r="J56" s="6" t="n">
        <v>1995</v>
      </c>
      <c r="K56" s="6" t="n">
        <v>184</v>
      </c>
      <c r="L56" s="7" t="n">
        <v>19</v>
      </c>
      <c r="M56" s="8" t="n">
        <v>45909</v>
      </c>
      <c r="N56" s="2" t="s">
        <v>19</v>
      </c>
    </row>
    <row r="57" customFormat="false" ht="15" hidden="false" customHeight="false" outlineLevel="0" collapsed="false">
      <c r="A57" s="2" t="s">
        <v>157</v>
      </c>
      <c r="B57" s="3" t="s">
        <v>158</v>
      </c>
      <c r="C57" s="2" t="s">
        <v>16</v>
      </c>
      <c r="D57" s="2" t="s">
        <v>129</v>
      </c>
      <c r="E57" s="3" t="s">
        <v>40</v>
      </c>
      <c r="F57" s="2" t="s">
        <v>41</v>
      </c>
      <c r="G57" s="4" t="n">
        <v>10370</v>
      </c>
      <c r="H57" s="4" t="n">
        <v>13910</v>
      </c>
      <c r="I57" s="5" t="n">
        <f aca="false">(H57-G57)/H57</f>
        <v>0.254493170381021</v>
      </c>
      <c r="J57" s="6" t="n">
        <v>1915</v>
      </c>
      <c r="K57" s="6" t="n">
        <v>479</v>
      </c>
      <c r="L57" s="7" t="n">
        <v>23</v>
      </c>
      <c r="M57" s="8" t="n">
        <v>45929</v>
      </c>
      <c r="N57" s="2" t="s">
        <v>19</v>
      </c>
    </row>
    <row r="58" customFormat="false" ht="15" hidden="false" customHeight="false" outlineLevel="0" collapsed="false">
      <c r="A58" s="2" t="s">
        <v>159</v>
      </c>
      <c r="B58" s="3" t="s">
        <v>160</v>
      </c>
      <c r="C58" s="2" t="s">
        <v>22</v>
      </c>
      <c r="D58" s="2" t="s">
        <v>23</v>
      </c>
      <c r="E58" s="3" t="s">
        <v>24</v>
      </c>
      <c r="F58" s="2" t="s">
        <v>5</v>
      </c>
      <c r="G58" s="4" t="n">
        <v>5970</v>
      </c>
      <c r="H58" s="4" t="n">
        <v>10540</v>
      </c>
      <c r="I58" s="5" t="n">
        <f aca="false">(H58-G58)/H58</f>
        <v>0.433586337760911</v>
      </c>
      <c r="J58" s="6" t="n">
        <v>2412</v>
      </c>
      <c r="K58" s="6" t="n">
        <v>234</v>
      </c>
      <c r="L58" s="7" t="n">
        <v>14</v>
      </c>
      <c r="M58" s="8" t="n">
        <v>45982</v>
      </c>
      <c r="N58" s="2" t="s">
        <v>19</v>
      </c>
    </row>
    <row r="59" customFormat="false" ht="15" hidden="false" customHeight="false" outlineLevel="0" collapsed="false">
      <c r="A59" s="2" t="s">
        <v>161</v>
      </c>
      <c r="B59" s="3" t="s">
        <v>162</v>
      </c>
      <c r="C59" s="2" t="s">
        <v>47</v>
      </c>
      <c r="D59" s="2" t="s">
        <v>48</v>
      </c>
      <c r="E59" s="3" t="s">
        <v>49</v>
      </c>
      <c r="F59" s="2" t="s">
        <v>30</v>
      </c>
      <c r="G59" s="4" t="n">
        <v>12460</v>
      </c>
      <c r="H59" s="4" t="n">
        <v>20850</v>
      </c>
      <c r="I59" s="5" t="n">
        <f aca="false">(H59-G59)/H59</f>
        <v>0.402398081534772</v>
      </c>
      <c r="J59" s="6" t="n">
        <v>2205</v>
      </c>
      <c r="K59" s="6" t="n">
        <v>428</v>
      </c>
      <c r="L59" s="7" t="n">
        <v>6</v>
      </c>
      <c r="M59" s="8" t="n">
        <v>45911</v>
      </c>
      <c r="N59" s="2" t="s">
        <v>19</v>
      </c>
    </row>
    <row r="60" customFormat="false" ht="15" hidden="false" customHeight="false" outlineLevel="0" collapsed="false">
      <c r="A60" s="2" t="s">
        <v>163</v>
      </c>
      <c r="B60" s="3" t="s">
        <v>164</v>
      </c>
      <c r="C60" s="2" t="s">
        <v>16</v>
      </c>
      <c r="D60" s="2" t="s">
        <v>118</v>
      </c>
      <c r="E60" s="3" t="s">
        <v>18</v>
      </c>
      <c r="F60" s="2" t="s">
        <v>5</v>
      </c>
      <c r="G60" s="4" t="n">
        <v>6760</v>
      </c>
      <c r="H60" s="4" t="n">
        <v>8640</v>
      </c>
      <c r="I60" s="5" t="n">
        <f aca="false">(H60-G60)/H60</f>
        <v>0.217592592592593</v>
      </c>
      <c r="J60" s="6" t="n">
        <v>1258</v>
      </c>
      <c r="K60" s="6" t="n">
        <v>219</v>
      </c>
      <c r="L60" s="7" t="n">
        <v>33</v>
      </c>
      <c r="M60" s="8" t="n">
        <v>45969</v>
      </c>
      <c r="N60" s="2" t="s">
        <v>19</v>
      </c>
    </row>
    <row r="61" customFormat="false" ht="15" hidden="false" customHeight="false" outlineLevel="0" collapsed="false">
      <c r="A61" s="2" t="s">
        <v>165</v>
      </c>
      <c r="B61" s="3" t="s">
        <v>166</v>
      </c>
      <c r="C61" s="2" t="s">
        <v>77</v>
      </c>
      <c r="D61" s="2" t="s">
        <v>102</v>
      </c>
      <c r="E61" s="3" t="s">
        <v>145</v>
      </c>
      <c r="F61" s="2" t="s">
        <v>57</v>
      </c>
      <c r="G61" s="4" t="n">
        <v>14700</v>
      </c>
      <c r="H61" s="4" t="n">
        <v>21690</v>
      </c>
      <c r="I61" s="5" t="n">
        <f aca="false">(H61-G61)/H61</f>
        <v>0.322268326417704</v>
      </c>
      <c r="J61" s="6" t="n">
        <v>167</v>
      </c>
      <c r="K61" s="6" t="n">
        <v>278</v>
      </c>
      <c r="L61" s="7" t="n">
        <v>14</v>
      </c>
      <c r="M61" s="8" t="n">
        <v>45857</v>
      </c>
      <c r="N61" s="2" t="s">
        <v>36</v>
      </c>
    </row>
    <row r="62" customFormat="false" ht="15" hidden="false" customHeight="false" outlineLevel="0" collapsed="false">
      <c r="A62" s="2" t="s">
        <v>167</v>
      </c>
      <c r="B62" s="3" t="s">
        <v>168</v>
      </c>
      <c r="C62" s="2" t="s">
        <v>28</v>
      </c>
      <c r="D62" s="2" t="s">
        <v>29</v>
      </c>
      <c r="E62" s="3" t="s">
        <v>44</v>
      </c>
      <c r="F62" s="2" t="s">
        <v>41</v>
      </c>
      <c r="G62" s="4" t="n">
        <v>3800</v>
      </c>
      <c r="H62" s="4" t="n">
        <v>5040</v>
      </c>
      <c r="I62" s="5" t="n">
        <f aca="false">(H62-G62)/H62</f>
        <v>0.246031746031746</v>
      </c>
      <c r="J62" s="6" t="n">
        <v>1647</v>
      </c>
      <c r="K62" s="6" t="n">
        <v>300</v>
      </c>
      <c r="L62" s="7" t="n">
        <v>51</v>
      </c>
      <c r="M62" s="8" t="n">
        <v>45917</v>
      </c>
      <c r="N62" s="2" t="s">
        <v>19</v>
      </c>
    </row>
    <row r="63" customFormat="false" ht="15" hidden="false" customHeight="false" outlineLevel="0" collapsed="false">
      <c r="A63" s="2" t="s">
        <v>169</v>
      </c>
      <c r="B63" s="3" t="s">
        <v>170</v>
      </c>
      <c r="C63" s="2" t="s">
        <v>28</v>
      </c>
      <c r="D63" s="2" t="s">
        <v>54</v>
      </c>
      <c r="E63" s="3" t="s">
        <v>18</v>
      </c>
      <c r="F63" s="2" t="s">
        <v>41</v>
      </c>
      <c r="G63" s="4" t="n">
        <v>1320</v>
      </c>
      <c r="H63" s="4" t="n">
        <v>1700</v>
      </c>
      <c r="I63" s="5" t="n">
        <f aca="false">(H63-G63)/H63</f>
        <v>0.223529411764706</v>
      </c>
      <c r="J63" s="6" t="n">
        <v>4118</v>
      </c>
      <c r="K63" s="6" t="n">
        <v>148</v>
      </c>
      <c r="L63" s="7" t="n">
        <v>52</v>
      </c>
      <c r="M63" s="8" t="n">
        <v>45997</v>
      </c>
      <c r="N63" s="2" t="s">
        <v>19</v>
      </c>
    </row>
    <row r="64" customFormat="false" ht="15" hidden="false" customHeight="false" outlineLevel="0" collapsed="false">
      <c r="A64" s="2" t="s">
        <v>171</v>
      </c>
      <c r="B64" s="3" t="s">
        <v>172</v>
      </c>
      <c r="C64" s="2" t="s">
        <v>16</v>
      </c>
      <c r="D64" s="2" t="s">
        <v>39</v>
      </c>
      <c r="E64" s="3" t="s">
        <v>40</v>
      </c>
      <c r="F64" s="2" t="s">
        <v>5</v>
      </c>
      <c r="G64" s="4" t="n">
        <v>8710</v>
      </c>
      <c r="H64" s="4" t="n">
        <v>11490</v>
      </c>
      <c r="I64" s="5" t="n">
        <f aca="false">(H64-G64)/H64</f>
        <v>0.241949521322889</v>
      </c>
      <c r="J64" s="6" t="n">
        <v>1618</v>
      </c>
      <c r="K64" s="6" t="n">
        <v>259</v>
      </c>
      <c r="L64" s="7" t="n">
        <v>21</v>
      </c>
      <c r="M64" s="8" t="n">
        <v>46011</v>
      </c>
      <c r="N64" s="2" t="s">
        <v>19</v>
      </c>
    </row>
    <row r="65" customFormat="false" ht="15" hidden="false" customHeight="false" outlineLevel="0" collapsed="false">
      <c r="A65" s="2" t="s">
        <v>173</v>
      </c>
      <c r="B65" s="3" t="s">
        <v>174</v>
      </c>
      <c r="C65" s="2" t="s">
        <v>47</v>
      </c>
      <c r="D65" s="2" t="s">
        <v>48</v>
      </c>
      <c r="E65" s="3" t="s">
        <v>49</v>
      </c>
      <c r="F65" s="2" t="s">
        <v>30</v>
      </c>
      <c r="G65" s="4" t="n">
        <v>4970</v>
      </c>
      <c r="H65" s="4" t="n">
        <v>8720</v>
      </c>
      <c r="I65" s="5" t="n">
        <f aca="false">(H65-G65)/H65</f>
        <v>0.430045871559633</v>
      </c>
      <c r="J65" s="6" t="n">
        <v>2726</v>
      </c>
      <c r="K65" s="6" t="n">
        <v>498</v>
      </c>
      <c r="L65" s="7" t="n">
        <v>8</v>
      </c>
      <c r="M65" s="8" t="n">
        <v>46001</v>
      </c>
      <c r="N65" s="2" t="s">
        <v>19</v>
      </c>
    </row>
    <row r="66" customFormat="false" ht="15" hidden="false" customHeight="false" outlineLevel="0" collapsed="false">
      <c r="A66" s="2" t="s">
        <v>175</v>
      </c>
      <c r="B66" s="3" t="s">
        <v>176</v>
      </c>
      <c r="C66" s="2" t="s">
        <v>16</v>
      </c>
      <c r="D66" s="2" t="s">
        <v>39</v>
      </c>
      <c r="E66" s="3" t="s">
        <v>74</v>
      </c>
      <c r="F66" s="2" t="s">
        <v>41</v>
      </c>
      <c r="G66" s="4" t="n">
        <v>2120</v>
      </c>
      <c r="H66" s="4" t="n">
        <v>2770</v>
      </c>
      <c r="I66" s="5" t="n">
        <f aca="false">(H66-G66)/H66</f>
        <v>0.234657039711191</v>
      </c>
      <c r="J66" s="6" t="n">
        <v>4329</v>
      </c>
      <c r="K66" s="6" t="n">
        <v>124</v>
      </c>
      <c r="L66" s="7" t="n">
        <v>13</v>
      </c>
      <c r="M66" s="8" t="n">
        <v>45991</v>
      </c>
      <c r="N66" s="2" t="s">
        <v>19</v>
      </c>
    </row>
    <row r="67" customFormat="false" ht="15" hidden="false" customHeight="false" outlineLevel="0" collapsed="false">
      <c r="A67" s="2" t="s">
        <v>177</v>
      </c>
      <c r="B67" s="3" t="s">
        <v>178</v>
      </c>
      <c r="C67" s="2" t="s">
        <v>28</v>
      </c>
      <c r="D67" s="2" t="s">
        <v>33</v>
      </c>
      <c r="E67" s="3" t="s">
        <v>40</v>
      </c>
      <c r="F67" s="2" t="s">
        <v>30</v>
      </c>
      <c r="G67" s="4" t="n">
        <v>4050</v>
      </c>
      <c r="H67" s="4" t="n">
        <v>5340</v>
      </c>
      <c r="I67" s="5" t="n">
        <f aca="false">(H67-G67)/H67</f>
        <v>0.241573033707865</v>
      </c>
      <c r="J67" s="6" t="n">
        <v>92</v>
      </c>
      <c r="K67" s="6" t="n">
        <v>392</v>
      </c>
      <c r="L67" s="7" t="n">
        <v>30</v>
      </c>
      <c r="M67" s="8" t="n">
        <v>45942</v>
      </c>
      <c r="N67" s="2" t="s">
        <v>36</v>
      </c>
    </row>
    <row r="68" customFormat="false" ht="15" hidden="false" customHeight="false" outlineLevel="0" collapsed="false">
      <c r="A68" s="2" t="s">
        <v>179</v>
      </c>
      <c r="B68" s="3" t="s">
        <v>180</v>
      </c>
      <c r="C68" s="2" t="s">
        <v>16</v>
      </c>
      <c r="D68" s="2" t="s">
        <v>118</v>
      </c>
      <c r="E68" s="3" t="s">
        <v>18</v>
      </c>
      <c r="F68" s="2" t="s">
        <v>30</v>
      </c>
      <c r="G68" s="4" t="n">
        <v>6800</v>
      </c>
      <c r="H68" s="4" t="n">
        <v>8310</v>
      </c>
      <c r="I68" s="5" t="n">
        <f aca="false">(H68-G68)/H68</f>
        <v>0.181708784596871</v>
      </c>
      <c r="J68" s="6" t="n">
        <v>4019</v>
      </c>
      <c r="K68" s="6" t="n">
        <v>303</v>
      </c>
      <c r="L68" s="7" t="n">
        <v>15</v>
      </c>
      <c r="M68" s="8" t="n">
        <v>45982</v>
      </c>
      <c r="N68" s="2" t="s">
        <v>19</v>
      </c>
    </row>
    <row r="69" customFormat="false" ht="15" hidden="false" customHeight="false" outlineLevel="0" collapsed="false">
      <c r="A69" s="2" t="s">
        <v>181</v>
      </c>
      <c r="B69" s="3" t="s">
        <v>182</v>
      </c>
      <c r="C69" s="2" t="s">
        <v>77</v>
      </c>
      <c r="D69" s="2" t="s">
        <v>154</v>
      </c>
      <c r="E69" s="3" t="s">
        <v>145</v>
      </c>
      <c r="F69" s="2" t="s">
        <v>30</v>
      </c>
      <c r="G69" s="4" t="n">
        <v>6190</v>
      </c>
      <c r="H69" s="4" t="n">
        <v>9070</v>
      </c>
      <c r="I69" s="5" t="n">
        <f aca="false">(H69-G69)/H69</f>
        <v>0.317530319735391</v>
      </c>
      <c r="J69" s="6" t="n">
        <v>670</v>
      </c>
      <c r="K69" s="6" t="n">
        <v>377</v>
      </c>
      <c r="L69" s="7" t="n">
        <v>10</v>
      </c>
      <c r="M69" s="8" t="n">
        <v>45980</v>
      </c>
      <c r="N69" s="2" t="s">
        <v>19</v>
      </c>
    </row>
    <row r="70" customFormat="false" ht="15" hidden="false" customHeight="false" outlineLevel="0" collapsed="false">
      <c r="A70" s="2" t="s">
        <v>183</v>
      </c>
      <c r="B70" s="3" t="s">
        <v>184</v>
      </c>
      <c r="C70" s="2" t="s">
        <v>22</v>
      </c>
      <c r="D70" s="2" t="s">
        <v>154</v>
      </c>
      <c r="E70" s="3" t="s">
        <v>145</v>
      </c>
      <c r="F70" s="2" t="s">
        <v>5</v>
      </c>
      <c r="G70" s="4" t="n">
        <v>8890</v>
      </c>
      <c r="H70" s="4" t="n">
        <v>14750</v>
      </c>
      <c r="I70" s="5" t="n">
        <f aca="false">(H70-G70)/H70</f>
        <v>0.39728813559322</v>
      </c>
      <c r="J70" s="6" t="n">
        <v>4612</v>
      </c>
      <c r="K70" s="6" t="n">
        <v>404</v>
      </c>
      <c r="L70" s="7" t="n">
        <v>5</v>
      </c>
      <c r="M70" s="8" t="n">
        <v>46016</v>
      </c>
      <c r="N70" s="2" t="s">
        <v>19</v>
      </c>
    </row>
    <row r="71" customFormat="false" ht="15" hidden="false" customHeight="false" outlineLevel="0" collapsed="false">
      <c r="A71" s="2" t="s">
        <v>185</v>
      </c>
      <c r="B71" s="3" t="s">
        <v>186</v>
      </c>
      <c r="C71" s="2" t="s">
        <v>28</v>
      </c>
      <c r="D71" s="2" t="s">
        <v>39</v>
      </c>
      <c r="E71" s="3" t="s">
        <v>74</v>
      </c>
      <c r="F71" s="2" t="s">
        <v>41</v>
      </c>
      <c r="G71" s="4" t="n">
        <v>2620</v>
      </c>
      <c r="H71" s="4" t="n">
        <v>3410</v>
      </c>
      <c r="I71" s="5" t="n">
        <f aca="false">(H71-G71)/H71</f>
        <v>0.231671554252199</v>
      </c>
      <c r="J71" s="6" t="n">
        <v>3080</v>
      </c>
      <c r="K71" s="6" t="n">
        <v>411</v>
      </c>
      <c r="L71" s="7" t="n">
        <v>33</v>
      </c>
      <c r="M71" s="8" t="n">
        <v>45927</v>
      </c>
      <c r="N71" s="2" t="s">
        <v>19</v>
      </c>
    </row>
    <row r="72" customFormat="false" ht="15" hidden="false" customHeight="false" outlineLevel="0" collapsed="false">
      <c r="A72" s="2" t="s">
        <v>187</v>
      </c>
      <c r="B72" s="3" t="s">
        <v>188</v>
      </c>
      <c r="C72" s="2" t="s">
        <v>28</v>
      </c>
      <c r="D72" s="2" t="s">
        <v>54</v>
      </c>
      <c r="E72" s="3" t="s">
        <v>44</v>
      </c>
      <c r="F72" s="2" t="s">
        <v>57</v>
      </c>
      <c r="G72" s="4" t="n">
        <v>4150</v>
      </c>
      <c r="H72" s="4" t="n">
        <v>5110</v>
      </c>
      <c r="I72" s="5" t="n">
        <f aca="false">(H72-G72)/H72</f>
        <v>0.187866927592955</v>
      </c>
      <c r="J72" s="6" t="n">
        <v>661</v>
      </c>
      <c r="K72" s="6" t="n">
        <v>302</v>
      </c>
      <c r="L72" s="7" t="n">
        <v>26</v>
      </c>
      <c r="M72" s="8" t="n">
        <v>45957</v>
      </c>
      <c r="N72" s="2" t="s">
        <v>19</v>
      </c>
    </row>
    <row r="73" customFormat="false" ht="15" hidden="false" customHeight="false" outlineLevel="0" collapsed="false">
      <c r="A73" s="2" t="s">
        <v>189</v>
      </c>
      <c r="B73" s="3" t="s">
        <v>190</v>
      </c>
      <c r="C73" s="2" t="s">
        <v>28</v>
      </c>
      <c r="D73" s="2" t="s">
        <v>29</v>
      </c>
      <c r="E73" s="3" t="s">
        <v>18</v>
      </c>
      <c r="F73" s="2" t="s">
        <v>57</v>
      </c>
      <c r="G73" s="4" t="n">
        <v>4930</v>
      </c>
      <c r="H73" s="4" t="n">
        <v>6060</v>
      </c>
      <c r="I73" s="5" t="n">
        <f aca="false">(H73-G73)/H73</f>
        <v>0.186468646864686</v>
      </c>
      <c r="J73" s="6" t="n">
        <v>183</v>
      </c>
      <c r="K73" s="6" t="n">
        <v>252</v>
      </c>
      <c r="L73" s="7" t="n">
        <v>38</v>
      </c>
      <c r="M73" s="8" t="n">
        <v>45888</v>
      </c>
      <c r="N73" s="2" t="s">
        <v>36</v>
      </c>
    </row>
    <row r="74" customFormat="false" ht="15" hidden="false" customHeight="false" outlineLevel="0" collapsed="false">
      <c r="A74" s="2" t="s">
        <v>191</v>
      </c>
      <c r="B74" s="3" t="s">
        <v>192</v>
      </c>
      <c r="C74" s="2" t="s">
        <v>28</v>
      </c>
      <c r="D74" s="2" t="s">
        <v>29</v>
      </c>
      <c r="E74" s="3" t="s">
        <v>18</v>
      </c>
      <c r="F74" s="2" t="s">
        <v>41</v>
      </c>
      <c r="G74" s="4" t="n">
        <v>5840</v>
      </c>
      <c r="H74" s="4" t="n">
        <v>6980</v>
      </c>
      <c r="I74" s="5" t="n">
        <f aca="false">(H74-G74)/H74</f>
        <v>0.163323782234957</v>
      </c>
      <c r="J74" s="6" t="n">
        <v>1619</v>
      </c>
      <c r="K74" s="6" t="n">
        <v>457</v>
      </c>
      <c r="L74" s="7" t="n">
        <v>42</v>
      </c>
      <c r="M74" s="8" t="n">
        <v>45976</v>
      </c>
      <c r="N74" s="2" t="s">
        <v>19</v>
      </c>
    </row>
    <row r="75" customFormat="false" ht="15" hidden="false" customHeight="false" outlineLevel="0" collapsed="false">
      <c r="A75" s="2" t="s">
        <v>193</v>
      </c>
      <c r="B75" s="3" t="s">
        <v>194</v>
      </c>
      <c r="C75" s="2" t="s">
        <v>16</v>
      </c>
      <c r="D75" s="2" t="s">
        <v>33</v>
      </c>
      <c r="E75" s="3" t="s">
        <v>74</v>
      </c>
      <c r="F75" s="2" t="s">
        <v>5</v>
      </c>
      <c r="G75" s="4" t="n">
        <v>3550</v>
      </c>
      <c r="H75" s="4" t="n">
        <v>4370</v>
      </c>
      <c r="I75" s="5" t="n">
        <f aca="false">(H75-G75)/H75</f>
        <v>0.187643020594966</v>
      </c>
      <c r="J75" s="6" t="n">
        <v>4715</v>
      </c>
      <c r="K75" s="6" t="n">
        <v>335</v>
      </c>
      <c r="L75" s="7" t="n">
        <v>20</v>
      </c>
      <c r="M75" s="8" t="n">
        <v>46017</v>
      </c>
      <c r="N75" s="2" t="s">
        <v>19</v>
      </c>
    </row>
    <row r="76" customFormat="false" ht="15" hidden="false" customHeight="false" outlineLevel="0" collapsed="false">
      <c r="A76" s="2" t="s">
        <v>195</v>
      </c>
      <c r="B76" s="3" t="s">
        <v>196</v>
      </c>
      <c r="C76" s="2" t="s">
        <v>28</v>
      </c>
      <c r="D76" s="2" t="s">
        <v>54</v>
      </c>
      <c r="E76" s="3" t="s">
        <v>18</v>
      </c>
      <c r="F76" s="2" t="s">
        <v>41</v>
      </c>
      <c r="G76" s="4" t="n">
        <v>2700</v>
      </c>
      <c r="H76" s="4" t="n">
        <v>3310</v>
      </c>
      <c r="I76" s="5" t="n">
        <f aca="false">(H76-G76)/H76</f>
        <v>0.18429003021148</v>
      </c>
      <c r="J76" s="6" t="n">
        <v>4872</v>
      </c>
      <c r="K76" s="6" t="n">
        <v>110</v>
      </c>
      <c r="L76" s="7" t="n">
        <v>43</v>
      </c>
      <c r="M76" s="8" t="n">
        <v>45957</v>
      </c>
      <c r="N76" s="2" t="s">
        <v>19</v>
      </c>
    </row>
    <row r="77" customFormat="false" ht="15" hidden="false" customHeight="false" outlineLevel="0" collapsed="false">
      <c r="A77" s="2" t="s">
        <v>197</v>
      </c>
      <c r="B77" s="3" t="s">
        <v>198</v>
      </c>
      <c r="C77" s="2" t="s">
        <v>16</v>
      </c>
      <c r="D77" s="2" t="s">
        <v>118</v>
      </c>
      <c r="E77" s="3" t="s">
        <v>44</v>
      </c>
      <c r="F77" s="2" t="s">
        <v>41</v>
      </c>
      <c r="G77" s="4" t="n">
        <v>10930</v>
      </c>
      <c r="H77" s="4" t="n">
        <v>14280</v>
      </c>
      <c r="I77" s="5" t="n">
        <f aca="false">(H77-G77)/H77</f>
        <v>0.234593837535014</v>
      </c>
      <c r="J77" s="6" t="n">
        <v>584</v>
      </c>
      <c r="K77" s="6" t="n">
        <v>420</v>
      </c>
      <c r="L77" s="7" t="n">
        <v>30</v>
      </c>
      <c r="M77" s="8" t="n">
        <v>45928</v>
      </c>
      <c r="N77" s="2" t="s">
        <v>19</v>
      </c>
    </row>
    <row r="78" customFormat="false" ht="15" hidden="false" customHeight="false" outlineLevel="0" collapsed="false">
      <c r="A78" s="2" t="s">
        <v>199</v>
      </c>
      <c r="B78" s="3" t="s">
        <v>200</v>
      </c>
      <c r="C78" s="2" t="s">
        <v>77</v>
      </c>
      <c r="D78" s="2" t="s">
        <v>78</v>
      </c>
      <c r="E78" s="3" t="s">
        <v>145</v>
      </c>
      <c r="F78" s="2" t="s">
        <v>5</v>
      </c>
      <c r="G78" s="4" t="n">
        <v>5900</v>
      </c>
      <c r="H78" s="4" t="n">
        <v>8260</v>
      </c>
      <c r="I78" s="5" t="n">
        <f aca="false">(H78-G78)/H78</f>
        <v>0.285714285714286</v>
      </c>
      <c r="J78" s="6" t="n">
        <v>2761</v>
      </c>
      <c r="K78" s="6" t="n">
        <v>317</v>
      </c>
      <c r="L78" s="7" t="n">
        <v>11</v>
      </c>
      <c r="M78" s="8" t="n">
        <v>46013</v>
      </c>
      <c r="N78" s="2" t="s">
        <v>19</v>
      </c>
    </row>
    <row r="79" customFormat="false" ht="15" hidden="false" customHeight="false" outlineLevel="0" collapsed="false">
      <c r="A79" s="2" t="s">
        <v>201</v>
      </c>
      <c r="B79" s="3" t="s">
        <v>202</v>
      </c>
      <c r="C79" s="2" t="s">
        <v>16</v>
      </c>
      <c r="D79" s="2" t="s">
        <v>129</v>
      </c>
      <c r="E79" s="3" t="s">
        <v>74</v>
      </c>
      <c r="F79" s="2" t="s">
        <v>5</v>
      </c>
      <c r="G79" s="4" t="n">
        <v>8290</v>
      </c>
      <c r="H79" s="4" t="n">
        <v>10840</v>
      </c>
      <c r="I79" s="5" t="n">
        <f aca="false">(H79-G79)/H79</f>
        <v>0.235239852398524</v>
      </c>
      <c r="J79" s="6" t="n">
        <v>261</v>
      </c>
      <c r="K79" s="6" t="n">
        <v>395</v>
      </c>
      <c r="L79" s="7" t="n">
        <v>5</v>
      </c>
      <c r="M79" s="8" t="n">
        <v>45745</v>
      </c>
      <c r="N79" s="2" t="s">
        <v>25</v>
      </c>
    </row>
    <row r="80" customFormat="false" ht="15" hidden="false" customHeight="false" outlineLevel="0" collapsed="false">
      <c r="A80" s="2" t="s">
        <v>203</v>
      </c>
      <c r="B80" s="3" t="s">
        <v>204</v>
      </c>
      <c r="C80" s="2" t="s">
        <v>47</v>
      </c>
      <c r="D80" s="2" t="s">
        <v>48</v>
      </c>
      <c r="E80" s="3" t="s">
        <v>49</v>
      </c>
      <c r="F80" s="2" t="s">
        <v>41</v>
      </c>
      <c r="G80" s="4" t="n">
        <v>6680</v>
      </c>
      <c r="H80" s="4" t="n">
        <v>10870</v>
      </c>
      <c r="I80" s="5" t="n">
        <f aca="false">(H80-G80)/H80</f>
        <v>0.385464581416743</v>
      </c>
      <c r="J80" s="6" t="n">
        <v>316</v>
      </c>
      <c r="K80" s="6" t="n">
        <v>396</v>
      </c>
      <c r="L80" s="7" t="n">
        <v>21</v>
      </c>
      <c r="M80" s="8" t="n">
        <v>45858</v>
      </c>
      <c r="N80" s="2" t="s">
        <v>36</v>
      </c>
    </row>
    <row r="81" customFormat="false" ht="15" hidden="false" customHeight="false" outlineLevel="0" collapsed="false">
      <c r="A81" s="2" t="s">
        <v>205</v>
      </c>
      <c r="B81" s="3" t="s">
        <v>206</v>
      </c>
      <c r="C81" s="2" t="s">
        <v>77</v>
      </c>
      <c r="D81" s="2" t="s">
        <v>102</v>
      </c>
      <c r="E81" s="3" t="s">
        <v>24</v>
      </c>
      <c r="F81" s="2" t="s">
        <v>57</v>
      </c>
      <c r="G81" s="4" t="n">
        <v>11090</v>
      </c>
      <c r="H81" s="4" t="n">
        <v>16250</v>
      </c>
      <c r="I81" s="5" t="n">
        <f aca="false">(H81-G81)/H81</f>
        <v>0.317538461538462</v>
      </c>
      <c r="J81" s="6" t="n">
        <v>1510</v>
      </c>
      <c r="K81" s="6" t="n">
        <v>208</v>
      </c>
      <c r="L81" s="7" t="n">
        <v>10</v>
      </c>
      <c r="M81" s="8" t="n">
        <v>45919</v>
      </c>
      <c r="N81" s="2" t="s">
        <v>19</v>
      </c>
    </row>
    <row r="82" customFormat="false" ht="15" hidden="false" customHeight="false" outlineLevel="0" collapsed="false">
      <c r="A82" s="2" t="s">
        <v>207</v>
      </c>
      <c r="B82" s="3" t="s">
        <v>208</v>
      </c>
      <c r="C82" s="2" t="s">
        <v>28</v>
      </c>
      <c r="D82" s="2" t="s">
        <v>54</v>
      </c>
      <c r="E82" s="3" t="s">
        <v>18</v>
      </c>
      <c r="F82" s="2" t="s">
        <v>30</v>
      </c>
      <c r="G82" s="4" t="n">
        <v>5530</v>
      </c>
      <c r="H82" s="4" t="n">
        <v>6610</v>
      </c>
      <c r="I82" s="5" t="n">
        <f aca="false">(H82-G82)/H82</f>
        <v>0.16338880484115</v>
      </c>
      <c r="J82" s="6" t="n">
        <v>184</v>
      </c>
      <c r="K82" s="6" t="n">
        <v>280</v>
      </c>
      <c r="L82" s="7" t="n">
        <v>3</v>
      </c>
      <c r="M82" s="8" t="n">
        <v>45701</v>
      </c>
      <c r="N82" s="2" t="s">
        <v>25</v>
      </c>
    </row>
    <row r="83" customFormat="false" ht="15" hidden="false" customHeight="false" outlineLevel="0" collapsed="false">
      <c r="A83" s="2" t="s">
        <v>209</v>
      </c>
      <c r="B83" s="3" t="s">
        <v>210</v>
      </c>
      <c r="C83" s="2" t="s">
        <v>28</v>
      </c>
      <c r="D83" s="2" t="s">
        <v>29</v>
      </c>
      <c r="E83" s="3" t="s">
        <v>74</v>
      </c>
      <c r="F83" s="2" t="s">
        <v>41</v>
      </c>
      <c r="G83" s="4" t="n">
        <v>6400</v>
      </c>
      <c r="H83" s="4" t="n">
        <v>8000</v>
      </c>
      <c r="I83" s="5" t="n">
        <f aca="false">(H83-G83)/H83</f>
        <v>0.2</v>
      </c>
      <c r="J83" s="6" t="n">
        <v>887</v>
      </c>
      <c r="K83" s="6" t="n">
        <v>455</v>
      </c>
      <c r="L83" s="7" t="n">
        <v>31</v>
      </c>
      <c r="M83" s="8" t="n">
        <v>45996</v>
      </c>
      <c r="N83" s="2" t="s">
        <v>19</v>
      </c>
    </row>
    <row r="84" customFormat="false" ht="15" hidden="false" customHeight="false" outlineLevel="0" collapsed="false">
      <c r="A84" s="2" t="s">
        <v>211</v>
      </c>
      <c r="B84" s="3" t="s">
        <v>212</v>
      </c>
      <c r="C84" s="2" t="s">
        <v>16</v>
      </c>
      <c r="D84" s="2" t="s">
        <v>17</v>
      </c>
      <c r="E84" s="3" t="s">
        <v>44</v>
      </c>
      <c r="F84" s="2" t="s">
        <v>5</v>
      </c>
      <c r="G84" s="4" t="n">
        <v>11140</v>
      </c>
      <c r="H84" s="4" t="n">
        <v>14480</v>
      </c>
      <c r="I84" s="5" t="n">
        <f aca="false">(H84-G84)/H84</f>
        <v>0.230662983425414</v>
      </c>
      <c r="J84" s="6" t="n">
        <v>2488</v>
      </c>
      <c r="K84" s="6" t="n">
        <v>188</v>
      </c>
      <c r="L84" s="7" t="n">
        <v>36</v>
      </c>
      <c r="M84" s="8" t="n">
        <v>45981</v>
      </c>
      <c r="N84" s="2" t="s">
        <v>19</v>
      </c>
    </row>
    <row r="85" customFormat="false" ht="15" hidden="false" customHeight="false" outlineLevel="0" collapsed="false">
      <c r="A85" s="2" t="s">
        <v>213</v>
      </c>
      <c r="B85" s="3" t="s">
        <v>214</v>
      </c>
      <c r="C85" s="2" t="s">
        <v>28</v>
      </c>
      <c r="D85" s="2" t="s">
        <v>39</v>
      </c>
      <c r="E85" s="3" t="s">
        <v>44</v>
      </c>
      <c r="F85" s="2" t="s">
        <v>57</v>
      </c>
      <c r="G85" s="4" t="n">
        <v>2490</v>
      </c>
      <c r="H85" s="4" t="n">
        <v>3180</v>
      </c>
      <c r="I85" s="5" t="n">
        <f aca="false">(H85-G85)/H85</f>
        <v>0.216981132075472</v>
      </c>
      <c r="J85" s="6" t="n">
        <v>4834</v>
      </c>
      <c r="K85" s="6" t="n">
        <v>134</v>
      </c>
      <c r="L85" s="7" t="n">
        <v>50</v>
      </c>
      <c r="M85" s="8" t="n">
        <v>45986</v>
      </c>
      <c r="N85" s="2" t="s">
        <v>19</v>
      </c>
    </row>
    <row r="86" customFormat="false" ht="15" hidden="false" customHeight="false" outlineLevel="0" collapsed="false">
      <c r="A86" s="2" t="s">
        <v>215</v>
      </c>
      <c r="B86" s="3" t="s">
        <v>216</v>
      </c>
      <c r="C86" s="2" t="s">
        <v>77</v>
      </c>
      <c r="D86" s="2" t="s">
        <v>154</v>
      </c>
      <c r="E86" s="3" t="s">
        <v>79</v>
      </c>
      <c r="F86" s="2" t="s">
        <v>5</v>
      </c>
      <c r="G86" s="4" t="n">
        <v>12330</v>
      </c>
      <c r="H86" s="4" t="n">
        <v>17540</v>
      </c>
      <c r="I86" s="5" t="n">
        <f aca="false">(H86-G86)/H86</f>
        <v>0.297035347776511</v>
      </c>
      <c r="J86" s="6" t="n">
        <v>4173</v>
      </c>
      <c r="K86" s="6" t="n">
        <v>272</v>
      </c>
      <c r="L86" s="7" t="n">
        <v>20</v>
      </c>
      <c r="M86" s="8" t="n">
        <v>46015</v>
      </c>
      <c r="N86" s="2" t="s">
        <v>19</v>
      </c>
    </row>
    <row r="87" customFormat="false" ht="15" hidden="false" customHeight="false" outlineLevel="0" collapsed="false">
      <c r="A87" s="2" t="s">
        <v>217</v>
      </c>
      <c r="B87" s="3" t="s">
        <v>218</v>
      </c>
      <c r="C87" s="2" t="s">
        <v>22</v>
      </c>
      <c r="D87" s="2" t="s">
        <v>111</v>
      </c>
      <c r="E87" s="3" t="s">
        <v>24</v>
      </c>
      <c r="F87" s="2" t="s">
        <v>30</v>
      </c>
      <c r="G87" s="4" t="n">
        <v>16300</v>
      </c>
      <c r="H87" s="4" t="n">
        <v>23320</v>
      </c>
      <c r="I87" s="5" t="n">
        <f aca="false">(H87-G87)/H87</f>
        <v>0.301029159519726</v>
      </c>
      <c r="J87" s="6" t="n">
        <v>1910</v>
      </c>
      <c r="K87" s="6" t="n">
        <v>158</v>
      </c>
      <c r="L87" s="7" t="n">
        <v>5</v>
      </c>
      <c r="M87" s="8" t="n">
        <v>45967</v>
      </c>
      <c r="N87" s="2" t="s">
        <v>19</v>
      </c>
    </row>
    <row r="88" customFormat="false" ht="15" hidden="false" customHeight="false" outlineLevel="0" collapsed="false">
      <c r="A88" s="2" t="s">
        <v>219</v>
      </c>
      <c r="B88" s="3" t="s">
        <v>220</v>
      </c>
      <c r="C88" s="2" t="s">
        <v>22</v>
      </c>
      <c r="D88" s="2" t="s">
        <v>144</v>
      </c>
      <c r="E88" s="3" t="s">
        <v>79</v>
      </c>
      <c r="F88" s="2" t="s">
        <v>5</v>
      </c>
      <c r="G88" s="4" t="n">
        <v>6300</v>
      </c>
      <c r="H88" s="4" t="n">
        <v>9190</v>
      </c>
      <c r="I88" s="5" t="n">
        <f aca="false">(H88-G88)/H88</f>
        <v>0.314472252448313</v>
      </c>
      <c r="J88" s="6" t="n">
        <v>1024</v>
      </c>
      <c r="K88" s="6" t="n">
        <v>296</v>
      </c>
      <c r="L88" s="7" t="n">
        <v>15</v>
      </c>
      <c r="M88" s="8" t="n">
        <v>45973</v>
      </c>
      <c r="N88" s="2" t="s">
        <v>19</v>
      </c>
    </row>
    <row r="89" customFormat="false" ht="15" hidden="false" customHeight="false" outlineLevel="0" collapsed="false">
      <c r="A89" s="2" t="s">
        <v>221</v>
      </c>
      <c r="B89" s="3" t="s">
        <v>222</v>
      </c>
      <c r="C89" s="2" t="s">
        <v>77</v>
      </c>
      <c r="D89" s="2" t="s">
        <v>154</v>
      </c>
      <c r="E89" s="3" t="s">
        <v>24</v>
      </c>
      <c r="F89" s="2" t="s">
        <v>57</v>
      </c>
      <c r="G89" s="4" t="n">
        <v>13200</v>
      </c>
      <c r="H89" s="4" t="n">
        <v>18300</v>
      </c>
      <c r="I89" s="5" t="n">
        <f aca="false">(H89-G89)/H89</f>
        <v>0.278688524590164</v>
      </c>
      <c r="J89" s="6" t="n">
        <v>2770</v>
      </c>
      <c r="K89" s="6" t="n">
        <v>198</v>
      </c>
      <c r="L89" s="7" t="n">
        <v>20</v>
      </c>
      <c r="M89" s="8" t="n">
        <v>45975</v>
      </c>
      <c r="N89" s="2" t="s">
        <v>19</v>
      </c>
    </row>
    <row r="90" customFormat="false" ht="15" hidden="false" customHeight="false" outlineLevel="0" collapsed="false">
      <c r="A90" s="2" t="s">
        <v>223</v>
      </c>
      <c r="B90" s="3" t="s">
        <v>224</v>
      </c>
      <c r="C90" s="2" t="s">
        <v>16</v>
      </c>
      <c r="D90" s="2" t="s">
        <v>225</v>
      </c>
      <c r="E90" s="3" t="s">
        <v>74</v>
      </c>
      <c r="F90" s="2" t="s">
        <v>30</v>
      </c>
      <c r="G90" s="4" t="n">
        <v>11980</v>
      </c>
      <c r="H90" s="4" t="n">
        <v>15850</v>
      </c>
      <c r="I90" s="5" t="n">
        <f aca="false">(H90-G90)/H90</f>
        <v>0.24416403785489</v>
      </c>
      <c r="J90" s="6" t="n">
        <v>103</v>
      </c>
      <c r="K90" s="6" t="n">
        <v>157</v>
      </c>
      <c r="L90" s="7" t="n">
        <v>3</v>
      </c>
      <c r="M90" s="8" t="n">
        <v>45815</v>
      </c>
      <c r="N90" s="2" t="s">
        <v>25</v>
      </c>
    </row>
    <row r="91" customFormat="false" ht="15" hidden="false" customHeight="false" outlineLevel="0" collapsed="false">
      <c r="A91" s="2" t="s">
        <v>226</v>
      </c>
      <c r="B91" s="3" t="s">
        <v>227</v>
      </c>
      <c r="C91" s="2" t="s">
        <v>77</v>
      </c>
      <c r="D91" s="2" t="s">
        <v>78</v>
      </c>
      <c r="E91" s="3" t="s">
        <v>145</v>
      </c>
      <c r="F91" s="2" t="s">
        <v>5</v>
      </c>
      <c r="G91" s="4" t="n">
        <v>4570</v>
      </c>
      <c r="H91" s="4" t="n">
        <v>6140</v>
      </c>
      <c r="I91" s="5" t="n">
        <f aca="false">(H91-G91)/H91</f>
        <v>0.255700325732899</v>
      </c>
      <c r="J91" s="6" t="n">
        <v>2809</v>
      </c>
      <c r="K91" s="6" t="n">
        <v>273</v>
      </c>
      <c r="L91" s="7" t="n">
        <v>12</v>
      </c>
      <c r="M91" s="8" t="n">
        <v>45951</v>
      </c>
      <c r="N91" s="2" t="s">
        <v>19</v>
      </c>
    </row>
    <row r="92" customFormat="false" ht="15" hidden="false" customHeight="false" outlineLevel="0" collapsed="false">
      <c r="A92" s="2" t="s">
        <v>228</v>
      </c>
      <c r="B92" s="3" t="s">
        <v>229</v>
      </c>
      <c r="C92" s="2" t="s">
        <v>22</v>
      </c>
      <c r="D92" s="2" t="s">
        <v>23</v>
      </c>
      <c r="E92" s="3" t="s">
        <v>79</v>
      </c>
      <c r="F92" s="2" t="s">
        <v>30</v>
      </c>
      <c r="G92" s="4" t="n">
        <v>16100</v>
      </c>
      <c r="H92" s="4" t="n">
        <v>27540</v>
      </c>
      <c r="I92" s="5" t="n">
        <f aca="false">(H92-G92)/H92</f>
        <v>0.415395787944808</v>
      </c>
      <c r="J92" s="6" t="n">
        <v>652</v>
      </c>
      <c r="K92" s="6" t="n">
        <v>225</v>
      </c>
      <c r="L92" s="7" t="n">
        <v>10</v>
      </c>
      <c r="M92" s="8" t="n">
        <v>46014</v>
      </c>
      <c r="N92" s="2" t="s">
        <v>19</v>
      </c>
    </row>
    <row r="93" customFormat="false" ht="15" hidden="false" customHeight="false" outlineLevel="0" collapsed="false">
      <c r="A93" s="2" t="s">
        <v>230</v>
      </c>
      <c r="B93" s="3" t="s">
        <v>231</v>
      </c>
      <c r="C93" s="2" t="s">
        <v>77</v>
      </c>
      <c r="D93" s="2" t="s">
        <v>78</v>
      </c>
      <c r="E93" s="3" t="s">
        <v>145</v>
      </c>
      <c r="F93" s="2" t="s">
        <v>5</v>
      </c>
      <c r="G93" s="4" t="n">
        <v>5810</v>
      </c>
      <c r="H93" s="4" t="n">
        <v>7980</v>
      </c>
      <c r="I93" s="5" t="n">
        <f aca="false">(H93-G93)/H93</f>
        <v>0.271929824561404</v>
      </c>
      <c r="J93" s="6" t="n">
        <v>0</v>
      </c>
      <c r="K93" s="6" t="n">
        <v>127</v>
      </c>
      <c r="L93" s="7" t="n">
        <v>15</v>
      </c>
      <c r="M93" s="8" t="n">
        <v>46014</v>
      </c>
      <c r="N93" s="2" t="s">
        <v>36</v>
      </c>
    </row>
    <row r="94" customFormat="false" ht="15" hidden="false" customHeight="false" outlineLevel="0" collapsed="false">
      <c r="A94" s="2" t="s">
        <v>232</v>
      </c>
      <c r="B94" s="3" t="s">
        <v>233</v>
      </c>
      <c r="C94" s="2" t="s">
        <v>16</v>
      </c>
      <c r="D94" s="2" t="s">
        <v>118</v>
      </c>
      <c r="E94" s="3" t="s">
        <v>74</v>
      </c>
      <c r="F94" s="2" t="s">
        <v>41</v>
      </c>
      <c r="G94" s="4" t="n">
        <v>3180</v>
      </c>
      <c r="H94" s="4" t="n">
        <v>4230</v>
      </c>
      <c r="I94" s="5" t="n">
        <f aca="false">(H94-G94)/H94</f>
        <v>0.24822695035461</v>
      </c>
      <c r="J94" s="6" t="n">
        <v>188</v>
      </c>
      <c r="K94" s="6" t="n">
        <v>198</v>
      </c>
      <c r="L94" s="7" t="n">
        <v>13</v>
      </c>
      <c r="M94" s="8" t="n">
        <v>46015</v>
      </c>
      <c r="N94" s="2" t="s">
        <v>36</v>
      </c>
    </row>
    <row r="95" customFormat="false" ht="15" hidden="false" customHeight="false" outlineLevel="0" collapsed="false">
      <c r="A95" s="2" t="s">
        <v>234</v>
      </c>
      <c r="B95" s="3" t="s">
        <v>235</v>
      </c>
      <c r="C95" s="2" t="s">
        <v>28</v>
      </c>
      <c r="D95" s="2" t="s">
        <v>39</v>
      </c>
      <c r="E95" s="3" t="s">
        <v>44</v>
      </c>
      <c r="F95" s="2" t="s">
        <v>57</v>
      </c>
      <c r="G95" s="4" t="n">
        <v>4440</v>
      </c>
      <c r="H95" s="4" t="n">
        <v>5790</v>
      </c>
      <c r="I95" s="5" t="n">
        <f aca="false">(H95-G95)/H95</f>
        <v>0.233160621761658</v>
      </c>
      <c r="J95" s="6" t="n">
        <v>3713</v>
      </c>
      <c r="K95" s="6" t="n">
        <v>319</v>
      </c>
      <c r="L95" s="7" t="n">
        <v>25</v>
      </c>
      <c r="M95" s="8" t="n">
        <v>46017</v>
      </c>
      <c r="N95" s="2" t="s">
        <v>19</v>
      </c>
    </row>
    <row r="96" customFormat="false" ht="15" hidden="false" customHeight="false" outlineLevel="0" collapsed="false">
      <c r="A96" s="2" t="s">
        <v>236</v>
      </c>
      <c r="B96" s="3" t="s">
        <v>237</v>
      </c>
      <c r="C96" s="2" t="s">
        <v>47</v>
      </c>
      <c r="D96" s="2" t="s">
        <v>48</v>
      </c>
      <c r="E96" s="3" t="s">
        <v>49</v>
      </c>
      <c r="F96" s="2" t="s">
        <v>41</v>
      </c>
      <c r="G96" s="4" t="n">
        <v>3570</v>
      </c>
      <c r="H96" s="4" t="n">
        <v>6000</v>
      </c>
      <c r="I96" s="5" t="n">
        <f aca="false">(H96-G96)/H96</f>
        <v>0.405</v>
      </c>
      <c r="J96" s="6" t="n">
        <v>3209</v>
      </c>
      <c r="K96" s="6" t="n">
        <v>401</v>
      </c>
      <c r="L96" s="7" t="n">
        <v>27</v>
      </c>
      <c r="M96" s="8" t="n">
        <v>46014</v>
      </c>
      <c r="N96" s="2" t="s">
        <v>19</v>
      </c>
    </row>
    <row r="97" customFormat="false" ht="15" hidden="false" customHeight="false" outlineLevel="0" collapsed="false">
      <c r="A97" s="2" t="s">
        <v>238</v>
      </c>
      <c r="B97" s="3" t="s">
        <v>239</v>
      </c>
      <c r="C97" s="2" t="s">
        <v>16</v>
      </c>
      <c r="D97" s="2" t="s">
        <v>33</v>
      </c>
      <c r="E97" s="3" t="s">
        <v>40</v>
      </c>
      <c r="F97" s="2" t="s">
        <v>41</v>
      </c>
      <c r="G97" s="4" t="n">
        <v>11870</v>
      </c>
      <c r="H97" s="4" t="n">
        <v>14910</v>
      </c>
      <c r="I97" s="5" t="n">
        <f aca="false">(H97-G97)/H97</f>
        <v>0.203890006706908</v>
      </c>
      <c r="J97" s="6" t="n">
        <v>66</v>
      </c>
      <c r="K97" s="6" t="n">
        <v>192</v>
      </c>
      <c r="L97" s="7" t="n">
        <v>13</v>
      </c>
      <c r="M97" s="8" t="n">
        <v>45830</v>
      </c>
      <c r="N97" s="2" t="s">
        <v>36</v>
      </c>
    </row>
    <row r="98" customFormat="false" ht="15" hidden="false" customHeight="false" outlineLevel="0" collapsed="false">
      <c r="A98" s="2" t="s">
        <v>240</v>
      </c>
      <c r="B98" s="3" t="s">
        <v>241</v>
      </c>
      <c r="C98" s="2" t="s">
        <v>22</v>
      </c>
      <c r="D98" s="2" t="s">
        <v>23</v>
      </c>
      <c r="E98" s="3" t="s">
        <v>145</v>
      </c>
      <c r="F98" s="2" t="s">
        <v>30</v>
      </c>
      <c r="G98" s="4" t="n">
        <v>6020</v>
      </c>
      <c r="H98" s="4" t="n">
        <v>9310</v>
      </c>
      <c r="I98" s="5" t="n">
        <f aca="false">(H98-G98)/H98</f>
        <v>0.353383458646617</v>
      </c>
      <c r="J98" s="6" t="n">
        <v>4332</v>
      </c>
      <c r="K98" s="6" t="n">
        <v>213</v>
      </c>
      <c r="L98" s="7" t="n">
        <v>10</v>
      </c>
      <c r="M98" s="8" t="n">
        <v>45917</v>
      </c>
      <c r="N98" s="2" t="s">
        <v>19</v>
      </c>
    </row>
    <row r="99" customFormat="false" ht="15" hidden="false" customHeight="false" outlineLevel="0" collapsed="false">
      <c r="A99" s="2" t="s">
        <v>242</v>
      </c>
      <c r="B99" s="3" t="s">
        <v>243</v>
      </c>
      <c r="C99" s="2" t="s">
        <v>16</v>
      </c>
      <c r="D99" s="2" t="s">
        <v>225</v>
      </c>
      <c r="E99" s="3" t="s">
        <v>74</v>
      </c>
      <c r="F99" s="2" t="s">
        <v>41</v>
      </c>
      <c r="G99" s="4" t="n">
        <v>11110</v>
      </c>
      <c r="H99" s="4" t="n">
        <v>13570</v>
      </c>
      <c r="I99" s="5" t="n">
        <f aca="false">(H99-G99)/H99</f>
        <v>0.181282240235814</v>
      </c>
      <c r="J99" s="6" t="n">
        <v>2238</v>
      </c>
      <c r="K99" s="6" t="n">
        <v>269</v>
      </c>
      <c r="L99" s="7" t="n">
        <v>17</v>
      </c>
      <c r="M99" s="8" t="n">
        <v>45984</v>
      </c>
      <c r="N99" s="2" t="s">
        <v>19</v>
      </c>
    </row>
    <row r="100" customFormat="false" ht="15" hidden="false" customHeight="false" outlineLevel="0" collapsed="false">
      <c r="A100" s="2" t="s">
        <v>244</v>
      </c>
      <c r="B100" s="3" t="s">
        <v>245</v>
      </c>
      <c r="C100" s="2" t="s">
        <v>47</v>
      </c>
      <c r="D100" s="2" t="s">
        <v>48</v>
      </c>
      <c r="E100" s="3" t="s">
        <v>49</v>
      </c>
      <c r="F100" s="2" t="s">
        <v>30</v>
      </c>
      <c r="G100" s="4" t="n">
        <v>10130</v>
      </c>
      <c r="H100" s="4" t="n">
        <v>17330</v>
      </c>
      <c r="I100" s="5" t="n">
        <f aca="false">(H100-G100)/H100</f>
        <v>0.415464512406232</v>
      </c>
      <c r="J100" s="6" t="n">
        <v>4608</v>
      </c>
      <c r="K100" s="6" t="n">
        <v>413</v>
      </c>
      <c r="L100" s="7" t="n">
        <v>9</v>
      </c>
      <c r="M100" s="8" t="n">
        <v>45994</v>
      </c>
      <c r="N100" s="2" t="s">
        <v>19</v>
      </c>
    </row>
    <row r="101" customFormat="false" ht="15" hidden="false" customHeight="false" outlineLevel="0" collapsed="false">
      <c r="A101" s="2" t="s">
        <v>246</v>
      </c>
      <c r="B101" s="3" t="s">
        <v>247</v>
      </c>
      <c r="C101" s="2" t="s">
        <v>77</v>
      </c>
      <c r="D101" s="2" t="s">
        <v>102</v>
      </c>
      <c r="E101" s="3" t="s">
        <v>145</v>
      </c>
      <c r="F101" s="2" t="s">
        <v>30</v>
      </c>
      <c r="G101" s="4" t="n">
        <v>13090</v>
      </c>
      <c r="H101" s="4" t="n">
        <v>17840</v>
      </c>
      <c r="I101" s="5" t="n">
        <f aca="false">(H101-G101)/H101</f>
        <v>0.266255605381166</v>
      </c>
      <c r="J101" s="6" t="n">
        <v>4324</v>
      </c>
      <c r="K101" s="6" t="n">
        <v>198</v>
      </c>
      <c r="L101" s="7" t="n">
        <v>14</v>
      </c>
      <c r="M101" s="8" t="n">
        <v>45963</v>
      </c>
      <c r="N101" s="2" t="s">
        <v>19</v>
      </c>
    </row>
    <row r="102" customFormat="false" ht="15" hidden="false" customHeight="false" outlineLevel="0" collapsed="false">
      <c r="A102" s="2" t="s">
        <v>248</v>
      </c>
      <c r="B102" s="3" t="s">
        <v>249</v>
      </c>
      <c r="C102" s="2" t="s">
        <v>28</v>
      </c>
      <c r="D102" s="2" t="s">
        <v>33</v>
      </c>
      <c r="E102" s="3" t="s">
        <v>18</v>
      </c>
      <c r="F102" s="2" t="s">
        <v>30</v>
      </c>
      <c r="G102" s="4" t="n">
        <v>4090</v>
      </c>
      <c r="H102" s="4" t="n">
        <v>5000</v>
      </c>
      <c r="I102" s="5" t="n">
        <f aca="false">(H102-G102)/H102</f>
        <v>0.182</v>
      </c>
      <c r="J102" s="6" t="n">
        <v>40</v>
      </c>
      <c r="K102" s="6" t="n">
        <v>272</v>
      </c>
      <c r="L102" s="7" t="n">
        <v>2</v>
      </c>
      <c r="M102" s="8" t="n">
        <v>45731</v>
      </c>
      <c r="N102" s="2" t="s">
        <v>25</v>
      </c>
    </row>
    <row r="103" customFormat="false" ht="15" hidden="false" customHeight="false" outlineLevel="0" collapsed="false">
      <c r="A103" s="2" t="s">
        <v>250</v>
      </c>
      <c r="B103" s="3" t="s">
        <v>251</v>
      </c>
      <c r="C103" s="2" t="s">
        <v>28</v>
      </c>
      <c r="D103" s="2" t="s">
        <v>33</v>
      </c>
      <c r="E103" s="3" t="s">
        <v>74</v>
      </c>
      <c r="F103" s="2" t="s">
        <v>30</v>
      </c>
      <c r="G103" s="4" t="n">
        <v>2310</v>
      </c>
      <c r="H103" s="4" t="n">
        <v>2860</v>
      </c>
      <c r="I103" s="5" t="n">
        <f aca="false">(H103-G103)/H103</f>
        <v>0.192307692307692</v>
      </c>
      <c r="J103" s="6" t="n">
        <v>4908</v>
      </c>
      <c r="K103" s="6" t="n">
        <v>399</v>
      </c>
      <c r="L103" s="7" t="n">
        <v>32</v>
      </c>
      <c r="M103" s="8" t="n">
        <v>45936</v>
      </c>
      <c r="N103" s="2" t="s">
        <v>19</v>
      </c>
    </row>
    <row r="104" customFormat="false" ht="15" hidden="false" customHeight="false" outlineLevel="0" collapsed="false">
      <c r="A104" s="2" t="s">
        <v>252</v>
      </c>
      <c r="B104" s="3" t="s">
        <v>253</v>
      </c>
      <c r="C104" s="2" t="s">
        <v>16</v>
      </c>
      <c r="D104" s="2" t="s">
        <v>129</v>
      </c>
      <c r="E104" s="3" t="s">
        <v>40</v>
      </c>
      <c r="F104" s="2" t="s">
        <v>5</v>
      </c>
      <c r="G104" s="4" t="n">
        <v>8970</v>
      </c>
      <c r="H104" s="4" t="n">
        <v>12140</v>
      </c>
      <c r="I104" s="5" t="n">
        <f aca="false">(H104-G104)/H104</f>
        <v>0.261120263591433</v>
      </c>
      <c r="J104" s="6" t="n">
        <v>204</v>
      </c>
      <c r="K104" s="6" t="n">
        <v>381</v>
      </c>
      <c r="L104" s="7" t="n">
        <v>29</v>
      </c>
      <c r="M104" s="8" t="n">
        <v>45848</v>
      </c>
      <c r="N104" s="2" t="s">
        <v>36</v>
      </c>
    </row>
    <row r="105" customFormat="false" ht="15" hidden="false" customHeight="false" outlineLevel="0" collapsed="false">
      <c r="A105" s="2" t="s">
        <v>254</v>
      </c>
      <c r="B105" s="3" t="s">
        <v>255</v>
      </c>
      <c r="C105" s="2" t="s">
        <v>16</v>
      </c>
      <c r="D105" s="2" t="s">
        <v>129</v>
      </c>
      <c r="E105" s="3" t="s">
        <v>44</v>
      </c>
      <c r="F105" s="2" t="s">
        <v>5</v>
      </c>
      <c r="G105" s="4" t="n">
        <v>5690</v>
      </c>
      <c r="H105" s="4" t="n">
        <v>7780</v>
      </c>
      <c r="I105" s="5" t="n">
        <f aca="false">(H105-G105)/H105</f>
        <v>0.268637532133676</v>
      </c>
      <c r="J105" s="6" t="n">
        <v>282</v>
      </c>
      <c r="K105" s="6" t="n">
        <v>437</v>
      </c>
      <c r="L105" s="7" t="n">
        <v>5</v>
      </c>
      <c r="M105" s="8" t="n">
        <v>45820</v>
      </c>
      <c r="N105" s="2" t="s">
        <v>25</v>
      </c>
    </row>
    <row r="106" customFormat="false" ht="15" hidden="false" customHeight="false" outlineLevel="0" collapsed="false">
      <c r="A106" s="2" t="s">
        <v>256</v>
      </c>
      <c r="B106" s="3" t="s">
        <v>257</v>
      </c>
      <c r="C106" s="2" t="s">
        <v>28</v>
      </c>
      <c r="D106" s="2" t="s">
        <v>29</v>
      </c>
      <c r="E106" s="3" t="s">
        <v>40</v>
      </c>
      <c r="F106" s="2" t="s">
        <v>57</v>
      </c>
      <c r="G106" s="4" t="n">
        <v>1510</v>
      </c>
      <c r="H106" s="4" t="n">
        <v>1950</v>
      </c>
      <c r="I106" s="5" t="n">
        <f aca="false">(H106-G106)/H106</f>
        <v>0.225641025641026</v>
      </c>
      <c r="J106" s="6" t="n">
        <v>1470</v>
      </c>
      <c r="K106" s="6" t="n">
        <v>441</v>
      </c>
      <c r="L106" s="7" t="n">
        <v>27</v>
      </c>
      <c r="M106" s="8" t="n">
        <v>45932</v>
      </c>
      <c r="N106" s="2" t="s">
        <v>19</v>
      </c>
    </row>
    <row r="107" customFormat="false" ht="15" hidden="false" customHeight="false" outlineLevel="0" collapsed="false">
      <c r="A107" s="2" t="s">
        <v>258</v>
      </c>
      <c r="B107" s="3" t="s">
        <v>259</v>
      </c>
      <c r="C107" s="2" t="s">
        <v>28</v>
      </c>
      <c r="D107" s="2" t="s">
        <v>39</v>
      </c>
      <c r="E107" s="3" t="s">
        <v>74</v>
      </c>
      <c r="F107" s="2" t="s">
        <v>41</v>
      </c>
      <c r="G107" s="4" t="n">
        <v>3460</v>
      </c>
      <c r="H107" s="4" t="n">
        <v>4280</v>
      </c>
      <c r="I107" s="5" t="n">
        <f aca="false">(H107-G107)/H107</f>
        <v>0.191588785046729</v>
      </c>
      <c r="J107" s="6" t="n">
        <v>4866</v>
      </c>
      <c r="K107" s="6" t="n">
        <v>420</v>
      </c>
      <c r="L107" s="7" t="n">
        <v>29</v>
      </c>
      <c r="M107" s="8" t="n">
        <v>45955</v>
      </c>
      <c r="N107" s="2" t="s">
        <v>19</v>
      </c>
    </row>
    <row r="108" customFormat="false" ht="15" hidden="false" customHeight="false" outlineLevel="0" collapsed="false">
      <c r="A108" s="2" t="s">
        <v>260</v>
      </c>
      <c r="B108" s="3" t="s">
        <v>261</v>
      </c>
      <c r="C108" s="2" t="s">
        <v>28</v>
      </c>
      <c r="D108" s="2" t="s">
        <v>29</v>
      </c>
      <c r="E108" s="3" t="s">
        <v>44</v>
      </c>
      <c r="F108" s="2" t="s">
        <v>30</v>
      </c>
      <c r="G108" s="4" t="n">
        <v>6440</v>
      </c>
      <c r="H108" s="4" t="n">
        <v>8250</v>
      </c>
      <c r="I108" s="5" t="n">
        <f aca="false">(H108-G108)/H108</f>
        <v>0.219393939393939</v>
      </c>
      <c r="J108" s="6" t="n">
        <v>4082</v>
      </c>
      <c r="K108" s="6" t="n">
        <v>452</v>
      </c>
      <c r="L108" s="7" t="n">
        <v>32</v>
      </c>
      <c r="M108" s="8" t="n">
        <v>46003</v>
      </c>
      <c r="N108" s="2" t="s">
        <v>19</v>
      </c>
    </row>
    <row r="109" customFormat="false" ht="15" hidden="false" customHeight="false" outlineLevel="0" collapsed="false">
      <c r="A109" s="2" t="s">
        <v>262</v>
      </c>
      <c r="B109" s="3" t="s">
        <v>263</v>
      </c>
      <c r="C109" s="2" t="s">
        <v>16</v>
      </c>
      <c r="D109" s="2" t="s">
        <v>129</v>
      </c>
      <c r="E109" s="3" t="s">
        <v>40</v>
      </c>
      <c r="F109" s="2" t="s">
        <v>5</v>
      </c>
      <c r="G109" s="4" t="n">
        <v>10410</v>
      </c>
      <c r="H109" s="4" t="n">
        <v>14020</v>
      </c>
      <c r="I109" s="5" t="n">
        <f aca="false">(H109-G109)/H109</f>
        <v>0.257489300998574</v>
      </c>
      <c r="J109" s="6" t="n">
        <v>3167</v>
      </c>
      <c r="K109" s="6" t="n">
        <v>407</v>
      </c>
      <c r="L109" s="7" t="n">
        <v>30</v>
      </c>
      <c r="M109" s="8" t="n">
        <v>45920</v>
      </c>
      <c r="N109" s="2" t="s">
        <v>19</v>
      </c>
    </row>
    <row r="110" customFormat="false" ht="15" hidden="false" customHeight="false" outlineLevel="0" collapsed="false">
      <c r="A110" s="2" t="s">
        <v>264</v>
      </c>
      <c r="B110" s="3" t="s">
        <v>265</v>
      </c>
      <c r="C110" s="2" t="s">
        <v>28</v>
      </c>
      <c r="D110" s="2" t="s">
        <v>29</v>
      </c>
      <c r="E110" s="3" t="s">
        <v>18</v>
      </c>
      <c r="F110" s="2" t="s">
        <v>30</v>
      </c>
      <c r="G110" s="4" t="n">
        <v>4890</v>
      </c>
      <c r="H110" s="4" t="n">
        <v>5900</v>
      </c>
      <c r="I110" s="5" t="n">
        <f aca="false">(H110-G110)/H110</f>
        <v>0.171186440677966</v>
      </c>
      <c r="J110" s="6" t="n">
        <v>3771</v>
      </c>
      <c r="K110" s="6" t="n">
        <v>160</v>
      </c>
      <c r="L110" s="7" t="n">
        <v>33</v>
      </c>
      <c r="M110" s="8" t="n">
        <v>45914</v>
      </c>
      <c r="N110" s="2" t="s">
        <v>19</v>
      </c>
    </row>
    <row r="111" customFormat="false" ht="15" hidden="false" customHeight="false" outlineLevel="0" collapsed="false">
      <c r="A111" s="2" t="s">
        <v>266</v>
      </c>
      <c r="B111" s="3" t="s">
        <v>267</v>
      </c>
      <c r="C111" s="2" t="s">
        <v>16</v>
      </c>
      <c r="D111" s="2" t="s">
        <v>118</v>
      </c>
      <c r="E111" s="3" t="s">
        <v>18</v>
      </c>
      <c r="F111" s="2" t="s">
        <v>41</v>
      </c>
      <c r="G111" s="4" t="n">
        <v>11800</v>
      </c>
      <c r="H111" s="4" t="n">
        <v>14670</v>
      </c>
      <c r="I111" s="5" t="n">
        <f aca="false">(H111-G111)/H111</f>
        <v>0.195637355146558</v>
      </c>
      <c r="J111" s="6" t="n">
        <v>2177</v>
      </c>
      <c r="K111" s="6" t="n">
        <v>124</v>
      </c>
      <c r="L111" s="7" t="n">
        <v>21</v>
      </c>
      <c r="M111" s="8" t="n">
        <v>45923</v>
      </c>
      <c r="N111" s="2" t="s">
        <v>19</v>
      </c>
    </row>
    <row r="112" customFormat="false" ht="15" hidden="false" customHeight="false" outlineLevel="0" collapsed="false">
      <c r="A112" s="2" t="s">
        <v>268</v>
      </c>
      <c r="B112" s="3" t="s">
        <v>269</v>
      </c>
      <c r="C112" s="2" t="s">
        <v>28</v>
      </c>
      <c r="D112" s="2" t="s">
        <v>54</v>
      </c>
      <c r="E112" s="3" t="s">
        <v>40</v>
      </c>
      <c r="F112" s="2" t="s">
        <v>30</v>
      </c>
      <c r="G112" s="4" t="n">
        <v>5540</v>
      </c>
      <c r="H112" s="4" t="n">
        <v>6960</v>
      </c>
      <c r="I112" s="5" t="n">
        <f aca="false">(H112-G112)/H112</f>
        <v>0.204022988505747</v>
      </c>
      <c r="J112" s="6" t="n">
        <v>42</v>
      </c>
      <c r="K112" s="6" t="n">
        <v>189</v>
      </c>
      <c r="L112" s="7" t="n">
        <v>32</v>
      </c>
      <c r="M112" s="8" t="n">
        <v>45923</v>
      </c>
      <c r="N112" s="2" t="s">
        <v>36</v>
      </c>
    </row>
    <row r="113" customFormat="false" ht="15" hidden="false" customHeight="false" outlineLevel="0" collapsed="false">
      <c r="A113" s="2" t="s">
        <v>270</v>
      </c>
      <c r="B113" s="3" t="s">
        <v>271</v>
      </c>
      <c r="C113" s="2" t="s">
        <v>47</v>
      </c>
      <c r="D113" s="2" t="s">
        <v>48</v>
      </c>
      <c r="E113" s="3" t="s">
        <v>49</v>
      </c>
      <c r="F113" s="2" t="s">
        <v>41</v>
      </c>
      <c r="G113" s="4" t="n">
        <v>5200</v>
      </c>
      <c r="H113" s="4" t="n">
        <v>8910</v>
      </c>
      <c r="I113" s="5" t="n">
        <f aca="false">(H113-G113)/H113</f>
        <v>0.41638608305275</v>
      </c>
      <c r="J113" s="6" t="n">
        <v>282</v>
      </c>
      <c r="K113" s="6" t="n">
        <v>433</v>
      </c>
      <c r="L113" s="7" t="n">
        <v>5</v>
      </c>
      <c r="M113" s="8" t="n">
        <v>45798</v>
      </c>
      <c r="N113" s="2" t="s">
        <v>25</v>
      </c>
    </row>
    <row r="114" customFormat="false" ht="15" hidden="false" customHeight="false" outlineLevel="0" collapsed="false">
      <c r="A114" s="2" t="s">
        <v>272</v>
      </c>
      <c r="B114" s="3" t="s">
        <v>273</v>
      </c>
      <c r="C114" s="2" t="s">
        <v>16</v>
      </c>
      <c r="D114" s="2" t="s">
        <v>129</v>
      </c>
      <c r="E114" s="3" t="s">
        <v>74</v>
      </c>
      <c r="F114" s="2" t="s">
        <v>41</v>
      </c>
      <c r="G114" s="4" t="n">
        <v>2530</v>
      </c>
      <c r="H114" s="4" t="n">
        <v>3490</v>
      </c>
      <c r="I114" s="5" t="n">
        <f aca="false">(H114-G114)/H114</f>
        <v>0.275071633237822</v>
      </c>
      <c r="J114" s="6" t="n">
        <v>2268</v>
      </c>
      <c r="K114" s="6" t="n">
        <v>334</v>
      </c>
      <c r="L114" s="7" t="n">
        <v>30</v>
      </c>
      <c r="M114" s="8" t="n">
        <v>45923</v>
      </c>
      <c r="N114" s="2" t="s">
        <v>19</v>
      </c>
    </row>
    <row r="115" customFormat="false" ht="15" hidden="false" customHeight="false" outlineLevel="0" collapsed="false">
      <c r="A115" s="2" t="s">
        <v>274</v>
      </c>
      <c r="B115" s="3" t="s">
        <v>275</v>
      </c>
      <c r="C115" s="2" t="s">
        <v>77</v>
      </c>
      <c r="D115" s="2" t="s">
        <v>78</v>
      </c>
      <c r="E115" s="3" t="s">
        <v>79</v>
      </c>
      <c r="F115" s="2" t="s">
        <v>5</v>
      </c>
      <c r="G115" s="4" t="n">
        <v>10790</v>
      </c>
      <c r="H115" s="4" t="n">
        <v>14770</v>
      </c>
      <c r="I115" s="5" t="n">
        <f aca="false">(H115-G115)/H115</f>
        <v>0.269465132024374</v>
      </c>
      <c r="J115" s="6" t="n">
        <v>235</v>
      </c>
      <c r="K115" s="6" t="n">
        <v>203</v>
      </c>
      <c r="L115" s="7" t="n">
        <v>19</v>
      </c>
      <c r="M115" s="8" t="n">
        <v>46021</v>
      </c>
      <c r="N115" s="2" t="s">
        <v>19</v>
      </c>
    </row>
    <row r="116" customFormat="false" ht="15" hidden="false" customHeight="false" outlineLevel="0" collapsed="false">
      <c r="A116" s="2" t="s">
        <v>276</v>
      </c>
      <c r="B116" s="3" t="s">
        <v>277</v>
      </c>
      <c r="C116" s="2" t="s">
        <v>28</v>
      </c>
      <c r="D116" s="2" t="s">
        <v>29</v>
      </c>
      <c r="E116" s="3" t="s">
        <v>74</v>
      </c>
      <c r="F116" s="2" t="s">
        <v>30</v>
      </c>
      <c r="G116" s="4" t="n">
        <v>2670</v>
      </c>
      <c r="H116" s="4" t="n">
        <v>3270</v>
      </c>
      <c r="I116" s="5" t="n">
        <f aca="false">(H116-G116)/H116</f>
        <v>0.18348623853211</v>
      </c>
      <c r="J116" s="6" t="n">
        <v>1682</v>
      </c>
      <c r="K116" s="6" t="n">
        <v>273</v>
      </c>
      <c r="L116" s="7" t="n">
        <v>42</v>
      </c>
      <c r="M116" s="8" t="n">
        <v>45958</v>
      </c>
      <c r="N116" s="2" t="s">
        <v>19</v>
      </c>
    </row>
    <row r="117" customFormat="false" ht="15" hidden="false" customHeight="false" outlineLevel="0" collapsed="false">
      <c r="A117" s="2" t="s">
        <v>278</v>
      </c>
      <c r="B117" s="3" t="s">
        <v>279</v>
      </c>
      <c r="C117" s="2" t="s">
        <v>28</v>
      </c>
      <c r="D117" s="2" t="s">
        <v>33</v>
      </c>
      <c r="E117" s="3" t="s">
        <v>18</v>
      </c>
      <c r="F117" s="2" t="s">
        <v>57</v>
      </c>
      <c r="G117" s="4" t="n">
        <v>1450</v>
      </c>
      <c r="H117" s="4" t="n">
        <v>1920</v>
      </c>
      <c r="I117" s="5" t="n">
        <f aca="false">(H117-G117)/H117</f>
        <v>0.244791666666667</v>
      </c>
      <c r="J117" s="6" t="n">
        <v>289</v>
      </c>
      <c r="K117" s="6" t="n">
        <v>445</v>
      </c>
      <c r="L117" s="7" t="n">
        <v>24</v>
      </c>
      <c r="M117" s="8" t="n">
        <v>45962</v>
      </c>
      <c r="N117" s="2" t="s">
        <v>36</v>
      </c>
    </row>
    <row r="118" customFormat="false" ht="15" hidden="false" customHeight="false" outlineLevel="0" collapsed="false">
      <c r="A118" s="2" t="s">
        <v>280</v>
      </c>
      <c r="B118" s="3" t="s">
        <v>281</v>
      </c>
      <c r="C118" s="2" t="s">
        <v>16</v>
      </c>
      <c r="D118" s="2" t="s">
        <v>17</v>
      </c>
      <c r="E118" s="3" t="s">
        <v>18</v>
      </c>
      <c r="F118" s="2" t="s">
        <v>30</v>
      </c>
      <c r="G118" s="4" t="n">
        <v>2020</v>
      </c>
      <c r="H118" s="4" t="n">
        <v>2510</v>
      </c>
      <c r="I118" s="5" t="n">
        <f aca="false">(H118-G118)/H118</f>
        <v>0.195219123505976</v>
      </c>
      <c r="J118" s="6" t="n">
        <v>1628</v>
      </c>
      <c r="K118" s="6" t="n">
        <v>393</v>
      </c>
      <c r="L118" s="7" t="n">
        <v>33</v>
      </c>
      <c r="M118" s="8" t="n">
        <v>45929</v>
      </c>
      <c r="N118" s="2" t="s">
        <v>19</v>
      </c>
    </row>
    <row r="119" customFormat="false" ht="15" hidden="false" customHeight="false" outlineLevel="0" collapsed="false">
      <c r="A119" s="2" t="s">
        <v>282</v>
      </c>
      <c r="B119" s="3" t="s">
        <v>283</v>
      </c>
      <c r="C119" s="2" t="s">
        <v>47</v>
      </c>
      <c r="D119" s="2" t="s">
        <v>48</v>
      </c>
      <c r="E119" s="3" t="s">
        <v>49</v>
      </c>
      <c r="F119" s="2" t="s">
        <v>30</v>
      </c>
      <c r="G119" s="4" t="n">
        <v>8360</v>
      </c>
      <c r="H119" s="4" t="n">
        <v>13020</v>
      </c>
      <c r="I119" s="5" t="n">
        <f aca="false">(H119-G119)/H119</f>
        <v>0.357910906298003</v>
      </c>
      <c r="J119" s="6" t="n">
        <v>3330</v>
      </c>
      <c r="K119" s="6" t="n">
        <v>228</v>
      </c>
      <c r="L119" s="7" t="n">
        <v>9</v>
      </c>
      <c r="M119" s="8" t="n">
        <v>45970</v>
      </c>
      <c r="N119" s="2" t="s">
        <v>19</v>
      </c>
    </row>
    <row r="120" customFormat="false" ht="15" hidden="false" customHeight="false" outlineLevel="0" collapsed="false">
      <c r="A120" s="2" t="s">
        <v>284</v>
      </c>
      <c r="B120" s="3" t="s">
        <v>285</v>
      </c>
      <c r="C120" s="2" t="s">
        <v>28</v>
      </c>
      <c r="D120" s="2" t="s">
        <v>39</v>
      </c>
      <c r="E120" s="3" t="s">
        <v>74</v>
      </c>
      <c r="F120" s="2" t="s">
        <v>41</v>
      </c>
      <c r="G120" s="4" t="n">
        <v>6850</v>
      </c>
      <c r="H120" s="4" t="n">
        <v>8670</v>
      </c>
      <c r="I120" s="5" t="n">
        <f aca="false">(H120-G120)/H120</f>
        <v>0.209919261822376</v>
      </c>
      <c r="J120" s="6" t="n">
        <v>893</v>
      </c>
      <c r="K120" s="6" t="n">
        <v>163</v>
      </c>
      <c r="L120" s="7" t="n">
        <v>25</v>
      </c>
      <c r="M120" s="8" t="n">
        <v>45970</v>
      </c>
      <c r="N120" s="2" t="s">
        <v>19</v>
      </c>
    </row>
    <row r="121" customFormat="false" ht="15" hidden="false" customHeight="false" outlineLevel="0" collapsed="false">
      <c r="A121" s="2" t="s">
        <v>286</v>
      </c>
      <c r="B121" s="3" t="s">
        <v>287</v>
      </c>
      <c r="C121" s="2" t="s">
        <v>28</v>
      </c>
      <c r="D121" s="2" t="s">
        <v>33</v>
      </c>
      <c r="E121" s="3" t="s">
        <v>44</v>
      </c>
      <c r="F121" s="2" t="s">
        <v>41</v>
      </c>
      <c r="G121" s="4" t="n">
        <v>1540</v>
      </c>
      <c r="H121" s="4" t="n">
        <v>2020</v>
      </c>
      <c r="I121" s="5" t="n">
        <f aca="false">(H121-G121)/H121</f>
        <v>0.237623762376238</v>
      </c>
      <c r="J121" s="6" t="n">
        <v>4532</v>
      </c>
      <c r="K121" s="6" t="n">
        <v>350</v>
      </c>
      <c r="L121" s="7" t="n">
        <v>43</v>
      </c>
      <c r="M121" s="8" t="n">
        <v>46013</v>
      </c>
      <c r="N121" s="2" t="s">
        <v>19</v>
      </c>
    </row>
    <row r="123" customFormat="false" ht="15" hidden="false" customHeight="false" outlineLevel="0" collapsed="false">
      <c r="A123" s="9" t="s">
        <v>288</v>
      </c>
    </row>
  </sheetData>
  <conditionalFormatting sqref="N2:N121">
    <cfRule type="cellIs" priority="2" operator="equal" aboveAverage="0" equalAverage="0" bottom="0" percent="0" rank="0" text="" dxfId="8">
      <formula>"En falta"</formula>
    </cfRule>
    <cfRule type="cellIs" priority="3" operator="equal" aboveAverage="0" equalAverage="0" bottom="0" percent="0" rank="0" text="" dxfId="9">
      <formula>"Descontinuado"</formula>
    </cfRule>
    <cfRule type="cellIs" priority="4" operator="equal" aboveAverage="0" equalAverage="0" bottom="0" percent="0" rank="0" text="" dxfId="10">
      <formula>"Activo"</formula>
    </cfRule>
  </conditionalFormatting>
  <conditionalFormatting sqref="J2:J121">
    <cfRule type="cellIs" priority="5" operator="lessThan" aboveAverage="0" equalAverage="0" bottom="0" percent="0" rank="0" text="" dxfId="8">
      <formula>K2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0" t="s">
        <v>289</v>
      </c>
      <c r="B1" s="10"/>
    </row>
    <row r="3" customFormat="false" ht="15" hidden="false" customHeight="false" outlineLevel="0" collapsed="false">
      <c r="A3" s="11" t="s">
        <v>290</v>
      </c>
      <c r="B3" s="12" t="n">
        <f aca="false">COUNTA(Productos!A2:A121)</f>
        <v>120</v>
      </c>
    </row>
    <row r="4" customFormat="false" ht="15" hidden="false" customHeight="false" outlineLevel="0" collapsed="false">
      <c r="A4" s="11" t="s">
        <v>291</v>
      </c>
      <c r="B4" s="12" t="n">
        <f aca="false">COUNTIF(Productos!N2:N121,"Activo")</f>
        <v>90</v>
      </c>
    </row>
    <row r="5" customFormat="false" ht="15" hidden="false" customHeight="false" outlineLevel="0" collapsed="false">
      <c r="A5" s="11" t="s">
        <v>292</v>
      </c>
      <c r="B5" s="12" t="n">
        <f aca="false">COUNTIF(Productos!N2:N121,"En falta")</f>
        <v>18</v>
      </c>
    </row>
    <row r="6" customFormat="false" ht="15" hidden="false" customHeight="false" outlineLevel="0" collapsed="false">
      <c r="A6" s="11" t="s">
        <v>293</v>
      </c>
      <c r="B6" s="12" t="n">
        <f aca="false">COUNTIF(Productos!N2:N121,"Descontinuado")</f>
        <v>12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1" t="s">
        <v>294</v>
      </c>
      <c r="B8" s="12" t="n">
        <f aca="false">COUNTIF(Productos!C2:C121,"Bebidas")</f>
        <v>39</v>
      </c>
    </row>
    <row r="9" customFormat="false" ht="15" hidden="false" customHeight="false" outlineLevel="0" collapsed="false">
      <c r="A9" s="11" t="s">
        <v>295</v>
      </c>
      <c r="B9" s="12" t="n">
        <f aca="false">COUNTIF(Productos!C2:C121,"Alimentos")</f>
        <v>37</v>
      </c>
    </row>
    <row r="10" customFormat="false" ht="15" hidden="false" customHeight="false" outlineLevel="0" collapsed="false">
      <c r="A10" s="11" t="s">
        <v>296</v>
      </c>
      <c r="B10" s="12" t="n">
        <f aca="false">COUNTIF(Productos!C2:C121,"Aseo")</f>
        <v>14</v>
      </c>
    </row>
    <row r="11" customFormat="false" ht="15" hidden="false" customHeight="false" outlineLevel="0" collapsed="false">
      <c r="A11" s="11" t="s">
        <v>297</v>
      </c>
      <c r="B11" s="12" t="n">
        <f aca="false">COUNTIF(Productos!C2:C121,"Cuidado Personal")</f>
        <v>12</v>
      </c>
    </row>
    <row r="12" customFormat="false" ht="15" hidden="false" customHeight="false" outlineLevel="0" collapsed="false">
      <c r="A12" s="11" t="s">
        <v>298</v>
      </c>
      <c r="B12" s="12" t="n">
        <f aca="false">COUNTIF(Productos!C2:C121,"Marca propia")</f>
        <v>18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1" t="s">
        <v>299</v>
      </c>
      <c r="B14" s="13" t="n">
        <f aca="false">AVERAGE(Productos!I2:I121)</f>
        <v>0.269497745534782</v>
      </c>
    </row>
    <row r="15" customFormat="false" ht="15" hidden="false" customHeight="false" outlineLevel="0" collapsed="false">
      <c r="A15" s="11" t="s">
        <v>300</v>
      </c>
      <c r="B15" s="13" t="n">
        <f aca="false">AVERAGEIF(Productos!C2:C121,"Bebidas",Productos!I2:I121)</f>
        <v>0.201941429107488</v>
      </c>
    </row>
    <row r="16" customFormat="false" ht="15" hidden="false" customHeight="false" outlineLevel="0" collapsed="false">
      <c r="A16" s="11" t="s">
        <v>301</v>
      </c>
      <c r="B16" s="13" t="n">
        <f aca="false">AVERAGEIF(Productos!C2:C121,"Alimentos",Productos!I2:I121)</f>
        <v>0.232782083988089</v>
      </c>
    </row>
    <row r="17" customFormat="false" ht="15" hidden="false" customHeight="false" outlineLevel="0" collapsed="false">
      <c r="A17" s="11" t="s">
        <v>302</v>
      </c>
      <c r="B17" s="13" t="n">
        <f aca="false">AVERAGEIF(Productos!C2:C121,"Aseo",Productos!I2:I121)</f>
        <v>0.296038379366115</v>
      </c>
    </row>
    <row r="18" customFormat="false" ht="15" hidden="false" customHeight="false" outlineLevel="0" collapsed="false">
      <c r="A18" s="11" t="s">
        <v>303</v>
      </c>
      <c r="B18" s="13" t="n">
        <f aca="false">AVERAGEIF(Productos!C2:C121,"Cuidado Personal",Productos!I2:I121)</f>
        <v>0.376093985871844</v>
      </c>
    </row>
    <row r="19" customFormat="false" ht="15" hidden="false" customHeight="false" outlineLevel="0" collapsed="false">
      <c r="A19" s="11" t="s">
        <v>304</v>
      </c>
      <c r="B19" s="13" t="n">
        <f aca="false">AVERAGEIF(Productos!C2:C121,"Marca propia",Productos!I2:I121)</f>
        <v>0.399633971101936</v>
      </c>
    </row>
    <row r="20" customFormat="false" ht="15" hidden="false" customHeight="false" outlineLevel="0" collapsed="false">
      <c r="A20" s="11"/>
    </row>
    <row r="21" customFormat="false" ht="15" hidden="false" customHeight="false" outlineLevel="0" collapsed="false">
      <c r="A21" s="11" t="s">
        <v>305</v>
      </c>
      <c r="B21" s="14" t="n">
        <f aca="false">AVERAGE(Productos!L2:L121)</f>
        <v>21.675</v>
      </c>
    </row>
    <row r="22" customFormat="false" ht="15" hidden="false" customHeight="false" outlineLevel="0" collapsed="false">
      <c r="A22" s="11" t="s">
        <v>306</v>
      </c>
      <c r="B22" s="15" t="n">
        <f aca="false">SUMPRODUCT(Productos!G2:G121,Productos!J2:J121)</f>
        <v>1469784130</v>
      </c>
    </row>
    <row r="23" customFormat="false" ht="15" hidden="false" customHeight="false" outlineLevel="0" collapsed="false">
      <c r="A23" s="11" t="s">
        <v>307</v>
      </c>
      <c r="B23" s="15" t="n">
        <f aca="false">SUMPRODUCT(Productos!H2:H121,Productos!J2:J121)</f>
        <v>2073004100</v>
      </c>
    </row>
    <row r="25" customFormat="false" ht="15" hidden="false" customHeight="false" outlineLevel="0" collapsed="false">
      <c r="A25" s="16" t="s">
        <v>308</v>
      </c>
    </row>
    <row r="26" customFormat="false" ht="15" hidden="false" customHeight="false" outlineLevel="0" collapsed="false">
      <c r="A26" s="17" t="s">
        <v>0</v>
      </c>
      <c r="B26" s="17" t="s">
        <v>309</v>
      </c>
      <c r="C26" s="17" t="s">
        <v>2</v>
      </c>
      <c r="D26" s="17" t="s">
        <v>8</v>
      </c>
    </row>
    <row r="27" customFormat="false" ht="15" hidden="false" customHeight="false" outlineLevel="0" collapsed="false">
      <c r="A27" s="11" t="s">
        <v>159</v>
      </c>
      <c r="B27" s="11" t="s">
        <v>160</v>
      </c>
      <c r="C27" s="11" t="s">
        <v>22</v>
      </c>
      <c r="D27" s="18" t="n">
        <f aca="false">Productos!I58</f>
        <v>0.433586337760911</v>
      </c>
    </row>
    <row r="28" customFormat="false" ht="15" hidden="false" customHeight="false" outlineLevel="0" collapsed="false">
      <c r="A28" s="11" t="s">
        <v>96</v>
      </c>
      <c r="B28" s="11" t="s">
        <v>97</v>
      </c>
      <c r="C28" s="11" t="s">
        <v>22</v>
      </c>
      <c r="D28" s="18" t="n">
        <f aca="false">Productos!I30</f>
        <v>0.432103769760843</v>
      </c>
    </row>
    <row r="29" customFormat="false" ht="15" hidden="false" customHeight="false" outlineLevel="0" collapsed="false">
      <c r="A29" s="11" t="s">
        <v>173</v>
      </c>
      <c r="B29" s="11" t="s">
        <v>174</v>
      </c>
      <c r="C29" s="11" t="s">
        <v>47</v>
      </c>
      <c r="D29" s="18" t="n">
        <f aca="false">Productos!I65</f>
        <v>0.430045871559633</v>
      </c>
    </row>
    <row r="30" customFormat="false" ht="15" hidden="false" customHeight="false" outlineLevel="0" collapsed="false">
      <c r="A30" s="11" t="s">
        <v>114</v>
      </c>
      <c r="B30" s="11" t="s">
        <v>115</v>
      </c>
      <c r="C30" s="11" t="s">
        <v>47</v>
      </c>
      <c r="D30" s="18" t="n">
        <f aca="false">Productos!I38</f>
        <v>0.426648721399731</v>
      </c>
    </row>
    <row r="31" customFormat="false" ht="15" hidden="false" customHeight="false" outlineLevel="0" collapsed="false">
      <c r="A31" s="11" t="s">
        <v>64</v>
      </c>
      <c r="B31" s="11" t="s">
        <v>65</v>
      </c>
      <c r="C31" s="11" t="s">
        <v>47</v>
      </c>
      <c r="D31" s="18" t="n">
        <f aca="false">Productos!I16</f>
        <v>0.426208651399491</v>
      </c>
    </row>
    <row r="32" customFormat="false" ht="15" hidden="false" customHeight="false" outlineLevel="0" collapsed="false">
      <c r="A32" s="11" t="s">
        <v>146</v>
      </c>
      <c r="B32" s="11" t="s">
        <v>147</v>
      </c>
      <c r="C32" s="11" t="s">
        <v>47</v>
      </c>
      <c r="D32" s="18" t="n">
        <f aca="false">Productos!I52</f>
        <v>0.424787133396405</v>
      </c>
    </row>
    <row r="33" customFormat="false" ht="15" hidden="false" customHeight="false" outlineLevel="0" collapsed="false">
      <c r="A33" s="11" t="s">
        <v>20</v>
      </c>
      <c r="B33" s="11" t="s">
        <v>21</v>
      </c>
      <c r="C33" s="11" t="s">
        <v>22</v>
      </c>
      <c r="D33" s="18" t="n">
        <f aca="false">Productos!I3</f>
        <v>0.424450549450549</v>
      </c>
    </row>
    <row r="34" customFormat="false" ht="15" hidden="false" customHeight="false" outlineLevel="0" collapsed="false">
      <c r="A34" s="11" t="s">
        <v>50</v>
      </c>
      <c r="B34" s="11" t="s">
        <v>51</v>
      </c>
      <c r="C34" s="11" t="s">
        <v>22</v>
      </c>
      <c r="D34" s="18" t="n">
        <f aca="false">Productos!I10</f>
        <v>0.422617014007516</v>
      </c>
    </row>
    <row r="35" customFormat="false" ht="15" hidden="false" customHeight="false" outlineLevel="0" collapsed="false">
      <c r="A35" s="11" t="s">
        <v>45</v>
      </c>
      <c r="B35" s="11" t="s">
        <v>46</v>
      </c>
      <c r="C35" s="11" t="s">
        <v>47</v>
      </c>
      <c r="D35" s="18" t="n">
        <f aca="false">Productos!I9</f>
        <v>0.419461242440902</v>
      </c>
    </row>
    <row r="36" customFormat="false" ht="15" hidden="false" customHeight="false" outlineLevel="0" collapsed="false">
      <c r="A36" s="11" t="s">
        <v>270</v>
      </c>
      <c r="B36" s="11" t="s">
        <v>271</v>
      </c>
      <c r="C36" s="11" t="s">
        <v>47</v>
      </c>
      <c r="D36" s="18" t="n">
        <f aca="false">Productos!I113</f>
        <v>0.41638608305275</v>
      </c>
    </row>
    <row r="38" customFormat="false" ht="15" hidden="false" customHeight="false" outlineLevel="0" collapsed="false">
      <c r="A38" s="16" t="s">
        <v>310</v>
      </c>
    </row>
    <row r="39" customFormat="false" ht="15" hidden="false" customHeight="false" outlineLevel="0" collapsed="false">
      <c r="A39" s="17" t="s">
        <v>0</v>
      </c>
      <c r="B39" s="17" t="s">
        <v>309</v>
      </c>
      <c r="C39" s="17" t="s">
        <v>311</v>
      </c>
      <c r="D39" s="17" t="s">
        <v>312</v>
      </c>
    </row>
    <row r="40" customFormat="false" ht="15" hidden="false" customHeight="false" outlineLevel="0" collapsed="false">
      <c r="A40" s="11" t="str">
        <f aca="false">Productos!A6</f>
        <v>P005</v>
      </c>
      <c r="B40" s="11" t="str">
        <f aca="false">Productos!B6</f>
        <v>Gaseosa Sabor Cola 2.5L</v>
      </c>
      <c r="C40" s="19" t="n">
        <f aca="false">Productos!J6</f>
        <v>129</v>
      </c>
      <c r="D40" s="19" t="n">
        <f aca="false">Productos!K6</f>
        <v>292</v>
      </c>
    </row>
    <row r="41" customFormat="false" ht="15" hidden="false" customHeight="false" outlineLevel="0" collapsed="false">
      <c r="A41" s="11" t="str">
        <f aca="false">Productos!A7</f>
        <v>P006</v>
      </c>
      <c r="B41" s="11" t="str">
        <f aca="false">Productos!B7</f>
        <v>Panela Bloque 1kg</v>
      </c>
      <c r="C41" s="19" t="n">
        <f aca="false">Productos!J7</f>
        <v>87</v>
      </c>
      <c r="D41" s="19" t="n">
        <f aca="false">Productos!K7</f>
        <v>143</v>
      </c>
    </row>
    <row r="42" customFormat="false" ht="15" hidden="false" customHeight="false" outlineLevel="0" collapsed="false">
      <c r="A42" s="11" t="str">
        <f aca="false">Productos!A10</f>
        <v>P009</v>
      </c>
      <c r="B42" s="11" t="str">
        <f aca="false">Productos!B10</f>
        <v>Desodorante en Aerosol Frasco 150ml</v>
      </c>
      <c r="C42" s="19" t="n">
        <f aca="false">Productos!J10</f>
        <v>126</v>
      </c>
      <c r="D42" s="19" t="n">
        <f aca="false">Productos!K10</f>
        <v>216</v>
      </c>
    </row>
    <row r="43" customFormat="false" ht="15" hidden="false" customHeight="false" outlineLevel="0" collapsed="false">
      <c r="A43" s="11" t="str">
        <f aca="false">Productos!A18</f>
        <v>P017</v>
      </c>
      <c r="B43" s="11" t="str">
        <f aca="false">Productos!B18</f>
        <v>Bebida Energizante 250ml</v>
      </c>
      <c r="C43" s="19" t="n">
        <f aca="false">Productos!J18</f>
        <v>286</v>
      </c>
      <c r="D43" s="19" t="n">
        <f aca="false">Productos!K18</f>
        <v>497</v>
      </c>
    </row>
    <row r="44" customFormat="false" ht="15" hidden="false" customHeight="false" outlineLevel="0" collapsed="false">
      <c r="A44" s="11" t="str">
        <f aca="false">Productos!A21</f>
        <v>P020</v>
      </c>
      <c r="B44" s="11" t="str">
        <f aca="false">Productos!B21</f>
        <v>Blanqueador Líquido Botella 1L</v>
      </c>
      <c r="C44" s="19" t="n">
        <f aca="false">Productos!J21</f>
        <v>341</v>
      </c>
      <c r="D44" s="19" t="n">
        <f aca="false">Productos!K21</f>
        <v>349</v>
      </c>
    </row>
    <row r="45" customFormat="false" ht="15" hidden="false" customHeight="false" outlineLevel="0" collapsed="false">
      <c r="A45" s="11" t="str">
        <f aca="false">Productos!A23</f>
        <v>P022</v>
      </c>
      <c r="B45" s="11" t="str">
        <f aca="false">Productos!B23</f>
        <v>Mayonesa Frasco 400g</v>
      </c>
      <c r="C45" s="19" t="n">
        <f aca="false">Productos!J23</f>
        <v>58</v>
      </c>
      <c r="D45" s="19" t="n">
        <f aca="false">Productos!K23</f>
        <v>132</v>
      </c>
    </row>
    <row r="46" customFormat="false" ht="15" hidden="false" customHeight="false" outlineLevel="0" collapsed="false">
      <c r="A46" s="11" t="str">
        <f aca="false">Productos!A30</f>
        <v>P029</v>
      </c>
      <c r="B46" s="11" t="str">
        <f aca="false">Productos!B30</f>
        <v>Toallas Higiénicas Paquete x10</v>
      </c>
      <c r="C46" s="19" t="n">
        <f aca="false">Productos!J30</f>
        <v>97</v>
      </c>
      <c r="D46" s="19" t="n">
        <f aca="false">Productos!K30</f>
        <v>128</v>
      </c>
    </row>
    <row r="47" customFormat="false" ht="15" hidden="false" customHeight="false" outlineLevel="0" collapsed="false">
      <c r="A47" s="11" t="str">
        <f aca="false">Productos!A38</f>
        <v>P037</v>
      </c>
      <c r="B47" s="11" t="str">
        <f aca="false">Productos!B38</f>
        <v>Jugo de Naranja Natural 200ml</v>
      </c>
      <c r="C47" s="19" t="n">
        <f aca="false">Productos!J38</f>
        <v>43</v>
      </c>
      <c r="D47" s="19" t="n">
        <f aca="false">Productos!K38</f>
        <v>381</v>
      </c>
    </row>
    <row r="48" customFormat="false" ht="15" hidden="false" customHeight="false" outlineLevel="0" collapsed="false">
      <c r="A48" s="11" t="str">
        <f aca="false">Productos!A61</f>
        <v>P060</v>
      </c>
      <c r="B48" s="11" t="str">
        <f aca="false">Productos!B61</f>
        <v>Suavizante de Telas Botella 900ml</v>
      </c>
      <c r="C48" s="19" t="n">
        <f aca="false">Productos!J61</f>
        <v>167</v>
      </c>
      <c r="D48" s="19" t="n">
        <f aca="false">Productos!K61</f>
        <v>278</v>
      </c>
    </row>
    <row r="49" customFormat="false" ht="15" hidden="false" customHeight="false" outlineLevel="0" collapsed="false">
      <c r="A49" s="11" t="str">
        <f aca="false">Productos!A67</f>
        <v>P066</v>
      </c>
      <c r="B49" s="11" t="str">
        <f aca="false">Productos!B67</f>
        <v>Refresco de Manzana 1.5L (69)</v>
      </c>
      <c r="C49" s="19" t="n">
        <f aca="false">Productos!J67</f>
        <v>92</v>
      </c>
      <c r="D49" s="19" t="n">
        <f aca="false">Productos!K67</f>
        <v>392</v>
      </c>
    </row>
    <row r="50" customFormat="false" ht="15" hidden="false" customHeight="false" outlineLevel="0" collapsed="false">
      <c r="A50" s="11" t="str">
        <f aca="false">Productos!A73</f>
        <v>P072</v>
      </c>
      <c r="B50" s="11" t="str">
        <f aca="false">Productos!B73</f>
        <v>Chocolate en Polvo para Bebida Bolsa 400g (43)</v>
      </c>
      <c r="C50" s="19" t="n">
        <f aca="false">Productos!J73</f>
        <v>183</v>
      </c>
      <c r="D50" s="19" t="n">
        <f aca="false">Productos!K73</f>
        <v>252</v>
      </c>
    </row>
    <row r="51" customFormat="false" ht="15" hidden="false" customHeight="false" outlineLevel="0" collapsed="false">
      <c r="A51" s="11" t="str">
        <f aca="false">Productos!A80</f>
        <v>P079</v>
      </c>
      <c r="B51" s="11" t="str">
        <f aca="false">Productos!B80</f>
        <v>Té Frío de Limón 1.5L (84)</v>
      </c>
      <c r="C51" s="19" t="n">
        <f aca="false">Productos!J80</f>
        <v>316</v>
      </c>
      <c r="D51" s="19" t="n">
        <f aca="false">Productos!K80</f>
        <v>396</v>
      </c>
    </row>
    <row r="52" customFormat="false" ht="15" hidden="false" customHeight="false" outlineLevel="0" collapsed="false">
      <c r="A52" s="11" t="str">
        <f aca="false">Productos!A93</f>
        <v>P092</v>
      </c>
      <c r="B52" s="11" t="str">
        <f aca="false">Productos!B93</f>
        <v>Limpiador de Pisos Botella 1L (79)</v>
      </c>
      <c r="C52" s="19" t="n">
        <f aca="false">Productos!J93</f>
        <v>0</v>
      </c>
      <c r="D52" s="19" t="n">
        <f aca="false">Productos!K93</f>
        <v>127</v>
      </c>
    </row>
    <row r="53" customFormat="false" ht="15" hidden="false" customHeight="false" outlineLevel="0" collapsed="false">
      <c r="A53" s="11" t="str">
        <f aca="false">Productos!A94</f>
        <v>P093</v>
      </c>
      <c r="B53" s="11" t="str">
        <f aca="false">Productos!B94</f>
        <v>Panela Bloque 1kg (37)</v>
      </c>
      <c r="C53" s="19" t="n">
        <f aca="false">Productos!J94</f>
        <v>188</v>
      </c>
      <c r="D53" s="19" t="n">
        <f aca="false">Productos!K94</f>
        <v>198</v>
      </c>
    </row>
    <row r="54" customFormat="false" ht="15" hidden="false" customHeight="false" outlineLevel="0" collapsed="false">
      <c r="A54" s="11" t="str">
        <f aca="false">Productos!A97</f>
        <v>P096</v>
      </c>
      <c r="B54" s="11" t="str">
        <f aca="false">Productos!B97</f>
        <v>Ponqué Industrial Paquete 220g (30)</v>
      </c>
      <c r="C54" s="19" t="n">
        <f aca="false">Productos!J97</f>
        <v>66</v>
      </c>
      <c r="D54" s="19" t="n">
        <f aca="false">Productos!K97</f>
        <v>192</v>
      </c>
    </row>
    <row r="55" customFormat="false" ht="15" hidden="false" customHeight="false" outlineLevel="0" collapsed="false">
      <c r="A55" s="11" t="str">
        <f aca="false">Productos!A104</f>
        <v>P103</v>
      </c>
      <c r="B55" s="11" t="str">
        <f aca="false">Productos!B104</f>
        <v>Galletas Saladas Paquete 300g (99)</v>
      </c>
      <c r="C55" s="19" t="n">
        <f aca="false">Productos!J104</f>
        <v>204</v>
      </c>
      <c r="D55" s="19" t="n">
        <f aca="false">Productos!K104</f>
        <v>381</v>
      </c>
    </row>
    <row r="56" customFormat="false" ht="15" hidden="false" customHeight="false" outlineLevel="0" collapsed="false">
      <c r="A56" s="11" t="str">
        <f aca="false">Productos!A112</f>
        <v>P111</v>
      </c>
      <c r="B56" s="11" t="str">
        <f aca="false">Productos!B112</f>
        <v>Agua Saborizada Limón 500ml (39)</v>
      </c>
      <c r="C56" s="19" t="n">
        <f aca="false">Productos!J112</f>
        <v>42</v>
      </c>
      <c r="D56" s="19" t="n">
        <f aca="false">Productos!K112</f>
        <v>189</v>
      </c>
    </row>
    <row r="57" customFormat="false" ht="15" hidden="false" customHeight="false" outlineLevel="0" collapsed="false">
      <c r="A57" s="11" t="str">
        <f aca="false">Productos!A117</f>
        <v>P116</v>
      </c>
      <c r="B57" s="11" t="str">
        <f aca="false">Productos!B117</f>
        <v>Refresco de Manzana 1.5L (90)</v>
      </c>
      <c r="C57" s="19" t="n">
        <f aca="false">Productos!J117</f>
        <v>289</v>
      </c>
      <c r="D57" s="19" t="n">
        <f aca="false">Productos!K117</f>
        <v>445</v>
      </c>
    </row>
    <row r="59" customFormat="false" ht="15" hidden="false" customHeight="false" outlineLevel="0" collapsed="false">
      <c r="A59" s="9" t="s">
        <v>313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2026-08-11T03:22:54Z</dcterms:created>
  <dc:creator>openpyxl</dc:creator>
  <dc:description/>
  <dc:language>en-US</dc:language>
  <cp:lastModifiedBy/>
  <dcterms:modified xsi:type="dcterms:W3CDTF">2026-08-11T03:22:55Z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