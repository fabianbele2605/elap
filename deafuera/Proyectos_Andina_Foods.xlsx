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yecto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<sst xmlns="http://schemas.openxmlformats.org/spreadsheetml/2006/main" count="191" uniqueCount="139">
  <si>
    <t xml:space="preserve">ID Proyecto</t>
  </si>
  <si>
    <t xml:space="preserve">Nombre</t>
  </si>
  <si>
    <t xml:space="preserve">Categoría</t>
  </si>
  <si>
    <t xml:space="preserve">Objetivo</t>
  </si>
  <si>
    <t xml:space="preserve">Departamento Responsable</t>
  </si>
  <si>
    <t xml:space="preserve">Líder Proyecto</t>
  </si>
  <si>
    <t xml:space="preserve">Fecha Inicio</t>
  </si>
  <si>
    <t xml:space="preserve">Fecha Fin Planificada</t>
  </si>
  <si>
    <t xml:space="preserve">Avance %</t>
  </si>
  <si>
    <t xml:space="preserve">Estado</t>
  </si>
  <si>
    <t xml:space="preserve">Presupuesto (COP)</t>
  </si>
  <si>
    <t xml:space="preserve">% Gastado</t>
  </si>
  <si>
    <t xml:space="preserve">Gastado a la Fecha (COP)</t>
  </si>
  <si>
    <t xml:space="preserve">Beneficio Anual Esperado (COP)</t>
  </si>
  <si>
    <t xml:space="preserve">ROI % Anual</t>
  </si>
  <si>
    <t xml:space="preserve">Nivel de Riesgo</t>
  </si>
  <si>
    <t xml:space="preserve">Próximo Hito</t>
  </si>
  <si>
    <t xml:space="preserve">Indicador KPI Principal</t>
  </si>
  <si>
    <t xml:space="preserve">PROY-001</t>
  </si>
  <si>
    <t xml:space="preserve">Optimización de Rutas de Distribución</t>
  </si>
  <si>
    <t xml:space="preserve">Operacional</t>
  </si>
  <si>
    <t xml:space="preserve">Rediseñar las rutas de reparto en Barranquilla y Cartagena para reducir kilómetros recorridos y tiempos muertos de la flota.</t>
  </si>
  <si>
    <t xml:space="preserve">Logística y Distribución</t>
  </si>
  <si>
    <t xml:space="preserve">María Núñez Romero</t>
  </si>
  <si>
    <t xml:space="preserve">En ejecución</t>
  </si>
  <si>
    <t xml:space="preserve">Bajo</t>
  </si>
  <si>
    <t xml:space="preserve">30/10/2025: Rollout completo de rutas optimizadas en las 2 ciudades</t>
  </si>
  <si>
    <t xml:space="preserve">Costo de flete por unidad entregada (COP/unidad)</t>
  </si>
  <si>
    <t xml:space="preserve">PROY-002</t>
  </si>
  <si>
    <t xml:space="preserve">Implementación de WMS y Automatización de Bodega</t>
  </si>
  <si>
    <t xml:space="preserve">Implementar un sistema de gestión de bodega (WMS) que automatice el control de inventario y ubicación de productos.</t>
  </si>
  <si>
    <t xml:space="preserve">Bodega y Almacén</t>
  </si>
  <si>
    <t xml:space="preserve">Wilson Pacheco Redondo</t>
  </si>
  <si>
    <t xml:space="preserve">En riesgo</t>
  </si>
  <si>
    <t xml:space="preserve">Alto</t>
  </si>
  <si>
    <t xml:space="preserve">15/09/2025: Integración crítica con el ERP financiero</t>
  </si>
  <si>
    <t xml:space="preserve">Precisión de inventario (% de exactitud)</t>
  </si>
  <si>
    <t xml:space="preserve">PROY-003</t>
  </si>
  <si>
    <t xml:space="preserve">Programa de Reducción de Mermas en Bodega</t>
  </si>
  <si>
    <t xml:space="preserve">Disminuir las pérdidas por vencimiento, daño y manejo inadecuado en las bodegas regionales.</t>
  </si>
  <si>
    <t xml:space="preserve">Medio</t>
  </si>
  <si>
    <t xml:space="preserve">20/09/2025: Auditoría de mermas del tercer trimestre</t>
  </si>
  <si>
    <t xml:space="preserve">% de mermas sobre inventario total</t>
  </si>
  <si>
    <t xml:space="preserve">PROY-004</t>
  </si>
  <si>
    <t xml:space="preserve">Optimización de Compras y Proveedores</t>
  </si>
  <si>
    <t xml:space="preserve">Consolidar proveedores estratégicos y renegociar condiciones de compra para mejorar el costo de abastecimiento.</t>
  </si>
  <si>
    <t xml:space="preserve">Compras</t>
  </si>
  <si>
    <t xml:space="preserve">Alejandra Padilla Rojas</t>
  </si>
  <si>
    <t xml:space="preserve">Completado</t>
  </si>
  <si>
    <t xml:space="preserve">30/06/2025: Cierre y evaluación de resultados (proyecto finalizado)</t>
  </si>
  <si>
    <t xml:space="preserve">Costo promedio de abastecimiento por SKU</t>
  </si>
  <si>
    <t xml:space="preserve">PROY-005</t>
  </si>
  <si>
    <t xml:space="preserve">Mejora de Tiempos de Entrega Última Milla</t>
  </si>
  <si>
    <t xml:space="preserve">Reducir el tiempo promedio de entrega al cliente final mediante renovación de flota y microcentros de despacho.</t>
  </si>
  <si>
    <t xml:space="preserve">Pausado</t>
  </si>
  <si>
    <t xml:space="preserve">15/01/2026: Reactivación una vez aprobado el presupuesto de flota adicional</t>
  </si>
  <si>
    <t xml:space="preserve">Tiempo promedio de entrega (horas)</t>
  </si>
  <si>
    <t xml:space="preserve">PROY-006</t>
  </si>
  <si>
    <t xml:space="preserve">Expansión Comercial a Santa Marta y Valledupar</t>
  </si>
  <si>
    <t xml:space="preserve">Comercial</t>
  </si>
  <si>
    <t xml:space="preserve">Abrir un punto de distribución y equipo comercial dedicado en las zonas del Magdalena y Cesar.</t>
  </si>
  <si>
    <t xml:space="preserve">Ventas</t>
  </si>
  <si>
    <t xml:space="preserve">Eduardo Jiménez Torres</t>
  </si>
  <si>
    <t xml:space="preserve">Crítico</t>
  </si>
  <si>
    <t xml:space="preserve">30/10/2025: Apertura del punto de distribución en Valledupar (retrasada 2 meses)</t>
  </si>
  <si>
    <t xml:space="preserve">Nuevos clientes activos por zona</t>
  </si>
  <si>
    <t xml:space="preserve">PROY-007</t>
  </si>
  <si>
    <t xml:space="preserve">Programa de Fidelización de Clientes</t>
  </si>
  <si>
    <t xml:space="preserve">Diseñar un programa de puntos y beneficios para tenderos y supermercados que aumente la recompra.</t>
  </si>
  <si>
    <t xml:space="preserve">Servicio al Cliente</t>
  </si>
  <si>
    <t xml:space="preserve">Yolanda Vargas Medina</t>
  </si>
  <si>
    <t xml:space="preserve">30/11/2025: Reanudación sujeta a disponibilidad de equipo de TI</t>
  </si>
  <si>
    <t xml:space="preserve">Tasa de retención de clientes</t>
  </si>
  <si>
    <t xml:space="preserve">PROY-008</t>
  </si>
  <si>
    <t xml:space="preserve">Relanzamiento de Marca Propia Andina Selecta</t>
  </si>
  <si>
    <t xml:space="preserve">Renovar empaque, mezcla de producto y campaña de marca propia para aumentar su participación en ventas.</t>
  </si>
  <si>
    <t xml:space="preserve">Mercadeo</t>
  </si>
  <si>
    <t xml:space="preserve">Édgar Rojas Redondo</t>
  </si>
  <si>
    <t xml:space="preserve">30/09/2025: Campaña de lanzamiento nacional</t>
  </si>
  <si>
    <t xml:space="preserve">Participación de marca propia en ventas totales (%)</t>
  </si>
  <si>
    <t xml:space="preserve">PROY-009</t>
  </si>
  <si>
    <t xml:space="preserve">Fortalecimiento del Canal Institucional</t>
  </si>
  <si>
    <t xml:space="preserve">Desarrollar una oferta y equipo dedicado para colegios, clínicas, hoteles y restaurantes.</t>
  </si>
  <si>
    <t xml:space="preserve">Planificación</t>
  </si>
  <si>
    <t xml:space="preserve">15/10/2025: Aprobación del plan comercial y primeros contactos institucionales</t>
  </si>
  <si>
    <t xml:space="preserve">N° de clientes institucionales activos</t>
  </si>
  <si>
    <t xml:space="preserve">PROY-010</t>
  </si>
  <si>
    <t xml:space="preserve">Implementación de ERP Corporativo</t>
  </si>
  <si>
    <t xml:space="preserve">Tecnológico</t>
  </si>
  <si>
    <t xml:space="preserve">Reemplazar los sistemas aislados de ventas, bodega y contabilidad por un ERP integrado.</t>
  </si>
  <si>
    <t xml:space="preserve">Tecnología (TI)</t>
  </si>
  <si>
    <t xml:space="preserve">Diana Muñoz Rodríguez</t>
  </si>
  <si>
    <t xml:space="preserve">30/11/2025: Go-live del módulo financiero y de inventarios</t>
  </si>
  <si>
    <t xml:space="preserve">Tiempo de cierre contable mensual (días)</t>
  </si>
  <si>
    <t xml:space="preserve">PROY-011</t>
  </si>
  <si>
    <t xml:space="preserve">Automatización de Facturación Electrónica y Cobranza Digital</t>
  </si>
  <si>
    <t xml:space="preserve">Automatizar la emisión de facturas electrónicas y habilitar cobro digital para reducir cartera vencida.</t>
  </si>
  <si>
    <t xml:space="preserve">31/08/2025: Integración con la DIAN en producción</t>
  </si>
  <si>
    <t xml:space="preserve">Días promedio de cobro (DSO)</t>
  </si>
  <si>
    <t xml:space="preserve">PROY-012</t>
  </si>
  <si>
    <t xml:space="preserve">Dashboard de Business Intelligence Comercial y Logístico</t>
  </si>
  <si>
    <t xml:space="preserve">Construir tableros de control con datos de ventas, cartera e inventario para la toma de decisiones gerenciales.</t>
  </si>
  <si>
    <t xml:space="preserve">31/10/2025: MVP con datos de ventas y logística</t>
  </si>
  <si>
    <t xml:space="preserve">Tiempo de generación de reportes gerenciales (horas)</t>
  </si>
  <si>
    <t xml:space="preserve">PROY-013</t>
  </si>
  <si>
    <t xml:space="preserve">Programa de Capacitación y Desarrollo de Talento</t>
  </si>
  <si>
    <t xml:space="preserve">RRHH</t>
  </si>
  <si>
    <t xml:space="preserve">Cerrar brechas de desempeño identificadas en la evaluación 2025 mediante rutas de capacitación por cargo.</t>
  </si>
  <si>
    <t xml:space="preserve">Recursos Humanos</t>
  </si>
  <si>
    <t xml:space="preserve">Hernán Mendoza Romero</t>
  </si>
  <si>
    <t xml:space="preserve">30/11/2025: Cierre del ciclo de capacitación en Ventas y Logística</t>
  </si>
  <si>
    <t xml:space="preserve">% de empleados con recomendación de capacitación</t>
  </si>
  <si>
    <t xml:space="preserve">PROY-014</t>
  </si>
  <si>
    <t xml:space="preserve">Plan de Bienestar y Retención de Personal</t>
  </si>
  <si>
    <t xml:space="preserve">Reducir la rotación de personal operativo mediante beneficios, bienestar y plan de carrera.</t>
  </si>
  <si>
    <t xml:space="preserve">30/09/2025: Evaluación de impacto en la tasa de rotación</t>
  </si>
  <si>
    <t xml:space="preserve">Tasa de rotación de personal operativo (%)</t>
  </si>
  <si>
    <t xml:space="preserve">Supuestos: Avance %, % Gastado, Presupuesto y Beneficio Anual Esperado son valores de entrada (simulación para demo/analítica, no datos reales de Andina Foods S.A.S.). Gastado a la Fecha = Presupuesto × % Gastado. ROI % Anual = Beneficio Anual Esperado / Presupuesto. Líder Proyecto y Departamento Responsable son consistentes con Evaluaciones_Desempeno_Andina_Foods.xlsx.</t>
  </si>
  <si>
    <t xml:space="preserve">Resumen — Portafolio de Proyectos Andina Foods 2025</t>
  </si>
  <si>
    <t xml:space="preserve">Total de proyectos activos</t>
  </si>
  <si>
    <t xml:space="preserve">Pausados</t>
  </si>
  <si>
    <t xml:space="preserve">Completados</t>
  </si>
  <si>
    <t xml:space="preserve">Operacionales (# proyectos)</t>
  </si>
  <si>
    <t xml:space="preserve">Comerciales (# proyectos)</t>
  </si>
  <si>
    <t xml:space="preserve">Tecnológicos (# proyectos)</t>
  </si>
  <si>
    <t xml:space="preserve">RRHH (# proyectos)</t>
  </si>
  <si>
    <t xml:space="preserve">Presupuesto total del portafolio (COP)</t>
  </si>
  <si>
    <t xml:space="preserve">Gastado a la fecha (COP)</t>
  </si>
  <si>
    <t xml:space="preserve">% Ejecución presupuestal del portafolio</t>
  </si>
  <si>
    <t xml:space="preserve">Beneficio anual esperado total (COP)</t>
  </si>
  <si>
    <t xml:space="preserve">ROI % promedio ponderado del portafolio</t>
  </si>
  <si>
    <t xml:space="preserve">Proyectos con riesgo Crítico o Alto</t>
  </si>
  <si>
    <t xml:space="preserve">Proyectos en Riesgo / Riesgo Crítico-Alto (Alertas)</t>
  </si>
  <si>
    <t xml:space="preserve">ID</t>
  </si>
  <si>
    <t xml:space="preserve">Líder</t>
  </si>
  <si>
    <t xml:space="preserve">Proyectos Ordenados por ROI % Esperado (mayor a menor)</t>
  </si>
  <si>
    <t xml:space="preserve">Beneficio Anual (COP)</t>
  </si>
  <si>
    <t xml:space="preserve">ROI %</t>
  </si>
  <si>
    <t xml:space="preserve">Nota: datos simulados con fines de demostración / analítica del programa Master IA Local. No corresponden a proyectos reales de Andina Foods S.A.S.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</si>
</sst>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%"/>
    <numFmt numFmtId="167" formatCode="\$#,##0"/>
    <numFmt numFmtId="168" formatCode="0"/>
    <numFmt numFmtId="169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royectosAndina" displayName="ProyectosAndina" ref="A1:R15" headerRowCount="1" totalsRowCount="0" totalsRowShown="0">
  <autoFilter ref="A1:R15"/>
  <tableColumns count="18">
    <tableColumn id="1" name="ID Proyecto"/>
    <tableColumn id="2" name="Nombre"/>
    <tableColumn id="3" name="Categoría"/>
    <tableColumn id="4" name="Objetivo"/>
    <tableColumn id="5" name="Departamento Responsable"/>
    <tableColumn id="6" name="Líder Proyecto"/>
    <tableColumn id="7" name="Fecha Inicio"/>
    <tableColumn id="8" name="Fecha Fin Planificada"/>
    <tableColumn id="9" name="Avance %"/>
    <tableColumn id="10" name="Estado"/>
    <tableColumn id="11" name="Presupuesto (COP)"/>
    <tableColumn id="12" name="% Gastado"/>
    <tableColumn id="13" name="Gastado a la Fecha (COP)"/>
    <tableColumn id="14" name="Beneficio Anual Esperado (COP)"/>
    <tableColumn id="15" name="ROI % Anual"/>
    <tableColumn id="16" name="Nivel de Riesgo"/>
    <tableColumn id="17" name="Próximo Hito"/>
    <tableColumn id="18" name="Indicador KPI Principa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42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6" min="15" style="0" width="11"/>
    <col collapsed="false" customWidth="true" hidden="false" outlineLevel="0" max="17" min="17" style="0" width="42"/>
    <col collapsed="false" customWidth="true" hidden="false" outlineLevel="0" max="18" min="18" style="0" width="34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52.2" hidden="false" customHeight="false" outlineLevel="0" collapsed="false">
      <c r="A2" s="2" t="s">
        <v>18</v>
      </c>
      <c r="B2" s="3" t="s">
        <v>19</v>
      </c>
      <c r="C2" s="2" t="s">
        <v>20</v>
      </c>
      <c r="D2" s="4" t="s">
        <v>21</v>
      </c>
      <c r="E2" s="3" t="s">
        <v>22</v>
      </c>
      <c r="F2" s="3" t="s">
        <v>23</v>
      </c>
      <c r="G2" s="5" t="n">
        <v>45536</v>
      </c>
      <c r="H2" s="5" t="n">
        <v>46022</v>
      </c>
      <c r="I2" s="6" t="n">
        <v>0.65</v>
      </c>
      <c r="J2" s="2" t="s">
        <v>24</v>
      </c>
      <c r="K2" s="7" t="n">
        <v>180000000</v>
      </c>
      <c r="L2" s="6" t="n">
        <v>0.62</v>
      </c>
      <c r="M2" s="8" t="n">
        <f aca="false">K2*L2</f>
        <v>111600000</v>
      </c>
      <c r="N2" s="7" t="n">
        <v>420000000</v>
      </c>
      <c r="O2" s="9" t="n">
        <f aca="false">N2/K2</f>
        <v>2.33333333333333</v>
      </c>
      <c r="P2" s="2" t="s">
        <v>25</v>
      </c>
      <c r="Q2" s="4" t="s">
        <v>26</v>
      </c>
      <c r="R2" s="4" t="s">
        <v>27</v>
      </c>
    </row>
    <row r="3" customFormat="false" ht="39.55" hidden="false" customHeight="false" outlineLevel="0" collapsed="false">
      <c r="A3" s="2" t="s">
        <v>28</v>
      </c>
      <c r="B3" s="3" t="s">
        <v>29</v>
      </c>
      <c r="C3" s="2" t="s">
        <v>20</v>
      </c>
      <c r="D3" s="4" t="s">
        <v>30</v>
      </c>
      <c r="E3" s="3" t="s">
        <v>31</v>
      </c>
      <c r="F3" s="3" t="s">
        <v>32</v>
      </c>
      <c r="G3" s="5" t="n">
        <v>45597</v>
      </c>
      <c r="H3" s="5" t="n">
        <v>45961</v>
      </c>
      <c r="I3" s="6" t="n">
        <v>0.4</v>
      </c>
      <c r="J3" s="2" t="s">
        <v>33</v>
      </c>
      <c r="K3" s="7" t="n">
        <v>320000000</v>
      </c>
      <c r="L3" s="6" t="n">
        <v>0.55</v>
      </c>
      <c r="M3" s="8" t="n">
        <f aca="false">K3*L3</f>
        <v>176000000</v>
      </c>
      <c r="N3" s="7" t="n">
        <v>480000000</v>
      </c>
      <c r="O3" s="9" t="n">
        <f aca="false">N3/K3</f>
        <v>1.5</v>
      </c>
      <c r="P3" s="2" t="s">
        <v>34</v>
      </c>
      <c r="Q3" s="4" t="s">
        <v>35</v>
      </c>
      <c r="R3" s="4" t="s">
        <v>36</v>
      </c>
    </row>
    <row r="4" customFormat="false" ht="39.55" hidden="false" customHeight="false" outlineLevel="0" collapsed="false">
      <c r="A4" s="2" t="s">
        <v>37</v>
      </c>
      <c r="B4" s="3" t="s">
        <v>38</v>
      </c>
      <c r="C4" s="2" t="s">
        <v>20</v>
      </c>
      <c r="D4" s="4" t="s">
        <v>39</v>
      </c>
      <c r="E4" s="3" t="s">
        <v>31</v>
      </c>
      <c r="F4" s="3" t="s">
        <v>32</v>
      </c>
      <c r="G4" s="5" t="n">
        <v>45672</v>
      </c>
      <c r="H4" s="5" t="n">
        <v>46006</v>
      </c>
      <c r="I4" s="6" t="n">
        <v>0.55</v>
      </c>
      <c r="J4" s="2" t="s">
        <v>24</v>
      </c>
      <c r="K4" s="7" t="n">
        <v>90000000</v>
      </c>
      <c r="L4" s="6" t="n">
        <v>0.5</v>
      </c>
      <c r="M4" s="8" t="n">
        <f aca="false">K4*L4</f>
        <v>45000000</v>
      </c>
      <c r="N4" s="7" t="n">
        <v>150000000</v>
      </c>
      <c r="O4" s="9" t="n">
        <f aca="false">N4/K4</f>
        <v>1.66666666666667</v>
      </c>
      <c r="P4" s="2" t="s">
        <v>40</v>
      </c>
      <c r="Q4" s="4" t="s">
        <v>41</v>
      </c>
      <c r="R4" s="4" t="s">
        <v>42</v>
      </c>
    </row>
    <row r="5" customFormat="false" ht="39.55" hidden="false" customHeight="false" outlineLevel="0" collapsed="false">
      <c r="A5" s="2" t="s">
        <v>43</v>
      </c>
      <c r="B5" s="3" t="s">
        <v>44</v>
      </c>
      <c r="C5" s="2" t="s">
        <v>20</v>
      </c>
      <c r="D5" s="4" t="s">
        <v>45</v>
      </c>
      <c r="E5" s="3" t="s">
        <v>46</v>
      </c>
      <c r="F5" s="3" t="s">
        <v>47</v>
      </c>
      <c r="G5" s="5" t="n">
        <v>45444</v>
      </c>
      <c r="H5" s="5" t="n">
        <v>45838</v>
      </c>
      <c r="I5" s="6" t="n">
        <v>1</v>
      </c>
      <c r="J5" s="2" t="s">
        <v>48</v>
      </c>
      <c r="K5" s="7" t="n">
        <v>60000000</v>
      </c>
      <c r="L5" s="6" t="n">
        <v>0.98</v>
      </c>
      <c r="M5" s="8" t="n">
        <f aca="false">K5*L5</f>
        <v>58800000</v>
      </c>
      <c r="N5" s="7" t="n">
        <v>140000000</v>
      </c>
      <c r="O5" s="9" t="n">
        <f aca="false">N5/K5</f>
        <v>2.33333333333333</v>
      </c>
      <c r="P5" s="2" t="s">
        <v>25</v>
      </c>
      <c r="Q5" s="4" t="s">
        <v>49</v>
      </c>
      <c r="R5" s="4" t="s">
        <v>50</v>
      </c>
    </row>
    <row r="6" customFormat="false" ht="39.55" hidden="false" customHeight="false" outlineLevel="0" collapsed="false">
      <c r="A6" s="2" t="s">
        <v>51</v>
      </c>
      <c r="B6" s="3" t="s">
        <v>52</v>
      </c>
      <c r="C6" s="2" t="s">
        <v>20</v>
      </c>
      <c r="D6" s="4" t="s">
        <v>53</v>
      </c>
      <c r="E6" s="3" t="s">
        <v>22</v>
      </c>
      <c r="F6" s="3" t="s">
        <v>23</v>
      </c>
      <c r="G6" s="5" t="n">
        <v>45689</v>
      </c>
      <c r="H6" s="5" t="n">
        <v>46053</v>
      </c>
      <c r="I6" s="6" t="n">
        <v>0.25</v>
      </c>
      <c r="J6" s="2" t="s">
        <v>54</v>
      </c>
      <c r="K6" s="7" t="n">
        <v>150000000</v>
      </c>
      <c r="L6" s="6" t="n">
        <v>0.2</v>
      </c>
      <c r="M6" s="8" t="n">
        <f aca="false">K6*L6</f>
        <v>30000000</v>
      </c>
      <c r="N6" s="7" t="n">
        <v>260000000</v>
      </c>
      <c r="O6" s="9" t="n">
        <f aca="false">N6/K6</f>
        <v>1.73333333333333</v>
      </c>
      <c r="P6" s="2" t="s">
        <v>34</v>
      </c>
      <c r="Q6" s="4" t="s">
        <v>55</v>
      </c>
      <c r="R6" s="4" t="s">
        <v>56</v>
      </c>
    </row>
    <row r="7" customFormat="false" ht="39.55" hidden="false" customHeight="false" outlineLevel="0" collapsed="false">
      <c r="A7" s="2" t="s">
        <v>57</v>
      </c>
      <c r="B7" s="3" t="s">
        <v>58</v>
      </c>
      <c r="C7" s="2" t="s">
        <v>59</v>
      </c>
      <c r="D7" s="4" t="s">
        <v>60</v>
      </c>
      <c r="E7" s="3" t="s">
        <v>61</v>
      </c>
      <c r="F7" s="3" t="s">
        <v>62</v>
      </c>
      <c r="G7" s="5" t="n">
        <v>45566</v>
      </c>
      <c r="H7" s="5" t="n">
        <v>46022</v>
      </c>
      <c r="I7" s="6" t="n">
        <v>0.45</v>
      </c>
      <c r="J7" s="2" t="s">
        <v>33</v>
      </c>
      <c r="K7" s="7" t="n">
        <v>280000000</v>
      </c>
      <c r="L7" s="6" t="n">
        <v>0.6</v>
      </c>
      <c r="M7" s="8" t="n">
        <f aca="false">K7*L7</f>
        <v>168000000</v>
      </c>
      <c r="N7" s="7" t="n">
        <v>700000000</v>
      </c>
      <c r="O7" s="9" t="n">
        <f aca="false">N7/K7</f>
        <v>2.5</v>
      </c>
      <c r="P7" s="2" t="s">
        <v>63</v>
      </c>
      <c r="Q7" s="4" t="s">
        <v>64</v>
      </c>
      <c r="R7" s="4" t="s">
        <v>65</v>
      </c>
    </row>
    <row r="8" customFormat="false" ht="39.55" hidden="false" customHeight="false" outlineLevel="0" collapsed="false">
      <c r="A8" s="2" t="s">
        <v>66</v>
      </c>
      <c r="B8" s="3" t="s">
        <v>67</v>
      </c>
      <c r="C8" s="2" t="s">
        <v>59</v>
      </c>
      <c r="D8" s="4" t="s">
        <v>68</v>
      </c>
      <c r="E8" s="3" t="s">
        <v>69</v>
      </c>
      <c r="F8" s="3" t="s">
        <v>70</v>
      </c>
      <c r="G8" s="5" t="n">
        <v>45717</v>
      </c>
      <c r="H8" s="5" t="n">
        <v>45991</v>
      </c>
      <c r="I8" s="6" t="n">
        <v>0.3</v>
      </c>
      <c r="J8" s="2" t="s">
        <v>54</v>
      </c>
      <c r="K8" s="7" t="n">
        <v>70000000</v>
      </c>
      <c r="L8" s="6" t="n">
        <v>0.28</v>
      </c>
      <c r="M8" s="8" t="n">
        <f aca="false">K8*L8</f>
        <v>19600000</v>
      </c>
      <c r="N8" s="7" t="n">
        <v>130000000</v>
      </c>
      <c r="O8" s="9" t="n">
        <f aca="false">N8/K8</f>
        <v>1.85714285714286</v>
      </c>
      <c r="P8" s="2" t="s">
        <v>40</v>
      </c>
      <c r="Q8" s="4" t="s">
        <v>71</v>
      </c>
      <c r="R8" s="4" t="s">
        <v>72</v>
      </c>
    </row>
    <row r="9" customFormat="false" ht="39.55" hidden="false" customHeight="false" outlineLevel="0" collapsed="false">
      <c r="A9" s="2" t="s">
        <v>73</v>
      </c>
      <c r="B9" s="3" t="s">
        <v>74</v>
      </c>
      <c r="C9" s="2" t="s">
        <v>59</v>
      </c>
      <c r="D9" s="4" t="s">
        <v>75</v>
      </c>
      <c r="E9" s="3" t="s">
        <v>76</v>
      </c>
      <c r="F9" s="3" t="s">
        <v>77</v>
      </c>
      <c r="G9" s="5" t="n">
        <v>45505</v>
      </c>
      <c r="H9" s="5" t="n">
        <v>45930</v>
      </c>
      <c r="I9" s="6" t="n">
        <v>0.8</v>
      </c>
      <c r="J9" s="2" t="s">
        <v>24</v>
      </c>
      <c r="K9" s="7" t="n">
        <v>130000000</v>
      </c>
      <c r="L9" s="6" t="n">
        <v>0.85</v>
      </c>
      <c r="M9" s="8" t="n">
        <f aca="false">K9*L9</f>
        <v>110500000</v>
      </c>
      <c r="N9" s="7" t="n">
        <v>260000000</v>
      </c>
      <c r="O9" s="9" t="n">
        <f aca="false">N9/K9</f>
        <v>2</v>
      </c>
      <c r="P9" s="2" t="s">
        <v>40</v>
      </c>
      <c r="Q9" s="4" t="s">
        <v>78</v>
      </c>
      <c r="R9" s="4" t="s">
        <v>79</v>
      </c>
    </row>
    <row r="10" customFormat="false" ht="39.55" hidden="false" customHeight="false" outlineLevel="0" collapsed="false">
      <c r="A10" s="2" t="s">
        <v>80</v>
      </c>
      <c r="B10" s="3" t="s">
        <v>81</v>
      </c>
      <c r="C10" s="2" t="s">
        <v>59</v>
      </c>
      <c r="D10" s="4" t="s">
        <v>82</v>
      </c>
      <c r="E10" s="3" t="s">
        <v>61</v>
      </c>
      <c r="F10" s="3" t="s">
        <v>62</v>
      </c>
      <c r="G10" s="5" t="n">
        <v>45901</v>
      </c>
      <c r="H10" s="5" t="n">
        <v>46203</v>
      </c>
      <c r="I10" s="6" t="n">
        <v>0.08</v>
      </c>
      <c r="J10" s="2" t="s">
        <v>83</v>
      </c>
      <c r="K10" s="7" t="n">
        <v>95000000</v>
      </c>
      <c r="L10" s="6" t="n">
        <v>0.06</v>
      </c>
      <c r="M10" s="8" t="n">
        <f aca="false">K10*L10</f>
        <v>5700000</v>
      </c>
      <c r="N10" s="7" t="n">
        <v>190000000</v>
      </c>
      <c r="O10" s="9" t="n">
        <f aca="false">N10/K10</f>
        <v>2</v>
      </c>
      <c r="P10" s="2" t="s">
        <v>25</v>
      </c>
      <c r="Q10" s="4" t="s">
        <v>84</v>
      </c>
      <c r="R10" s="4" t="s">
        <v>85</v>
      </c>
    </row>
    <row r="11" customFormat="false" ht="39.55" hidden="false" customHeight="false" outlineLevel="0" collapsed="false">
      <c r="A11" s="2" t="s">
        <v>86</v>
      </c>
      <c r="B11" s="3" t="s">
        <v>87</v>
      </c>
      <c r="C11" s="2" t="s">
        <v>88</v>
      </c>
      <c r="D11" s="4" t="s">
        <v>89</v>
      </c>
      <c r="E11" s="3" t="s">
        <v>90</v>
      </c>
      <c r="F11" s="3" t="s">
        <v>91</v>
      </c>
      <c r="G11" s="5" t="n">
        <v>45413</v>
      </c>
      <c r="H11" s="5" t="n">
        <v>46022</v>
      </c>
      <c r="I11" s="6" t="n">
        <v>0.55</v>
      </c>
      <c r="J11" s="2" t="s">
        <v>33</v>
      </c>
      <c r="K11" s="7" t="n">
        <v>480000000</v>
      </c>
      <c r="L11" s="6" t="n">
        <v>0.68</v>
      </c>
      <c r="M11" s="8" t="n">
        <f aca="false">K11*L11</f>
        <v>326400000</v>
      </c>
      <c r="N11" s="7" t="n">
        <v>620000000</v>
      </c>
      <c r="O11" s="9" t="n">
        <f aca="false">N11/K11</f>
        <v>1.29166666666667</v>
      </c>
      <c r="P11" s="2" t="s">
        <v>63</v>
      </c>
      <c r="Q11" s="4" t="s">
        <v>92</v>
      </c>
      <c r="R11" s="4" t="s">
        <v>93</v>
      </c>
    </row>
    <row r="12" customFormat="false" ht="39.55" hidden="false" customHeight="false" outlineLevel="0" collapsed="false">
      <c r="A12" s="2" t="s">
        <v>94</v>
      </c>
      <c r="B12" s="3" t="s">
        <v>95</v>
      </c>
      <c r="C12" s="2" t="s">
        <v>88</v>
      </c>
      <c r="D12" s="4" t="s">
        <v>96</v>
      </c>
      <c r="E12" s="3" t="s">
        <v>90</v>
      </c>
      <c r="F12" s="3" t="s">
        <v>91</v>
      </c>
      <c r="G12" s="5" t="n">
        <v>45689</v>
      </c>
      <c r="H12" s="5" t="n">
        <v>45961</v>
      </c>
      <c r="I12" s="6" t="n">
        <v>0.5</v>
      </c>
      <c r="J12" s="2" t="s">
        <v>24</v>
      </c>
      <c r="K12" s="7" t="n">
        <v>85000000</v>
      </c>
      <c r="L12" s="6" t="n">
        <v>0.45</v>
      </c>
      <c r="M12" s="8" t="n">
        <f aca="false">K12*L12</f>
        <v>38250000</v>
      </c>
      <c r="N12" s="7" t="n">
        <v>170000000</v>
      </c>
      <c r="O12" s="9" t="n">
        <f aca="false">N12/K12</f>
        <v>2</v>
      </c>
      <c r="P12" s="2" t="s">
        <v>40</v>
      </c>
      <c r="Q12" s="4" t="s">
        <v>97</v>
      </c>
      <c r="R12" s="4" t="s">
        <v>98</v>
      </c>
    </row>
    <row r="13" customFormat="false" ht="39.55" hidden="false" customHeight="false" outlineLevel="0" collapsed="false">
      <c r="A13" s="2" t="s">
        <v>99</v>
      </c>
      <c r="B13" s="3" t="s">
        <v>100</v>
      </c>
      <c r="C13" s="2" t="s">
        <v>88</v>
      </c>
      <c r="D13" s="4" t="s">
        <v>101</v>
      </c>
      <c r="E13" s="3" t="s">
        <v>90</v>
      </c>
      <c r="F13" s="3" t="s">
        <v>91</v>
      </c>
      <c r="G13" s="5" t="n">
        <v>45748</v>
      </c>
      <c r="H13" s="5" t="n">
        <v>46022</v>
      </c>
      <c r="I13" s="6" t="n">
        <v>0.2</v>
      </c>
      <c r="J13" s="2" t="s">
        <v>33</v>
      </c>
      <c r="K13" s="7" t="n">
        <v>60000000</v>
      </c>
      <c r="L13" s="6" t="n">
        <v>0.32</v>
      </c>
      <c r="M13" s="8" t="n">
        <f aca="false">K13*L13</f>
        <v>19200000</v>
      </c>
      <c r="N13" s="7" t="n">
        <v>90000000</v>
      </c>
      <c r="O13" s="9" t="n">
        <f aca="false">N13/K13</f>
        <v>1.5</v>
      </c>
      <c r="P13" s="2" t="s">
        <v>34</v>
      </c>
      <c r="Q13" s="4" t="s">
        <v>102</v>
      </c>
      <c r="R13" s="4" t="s">
        <v>103</v>
      </c>
    </row>
    <row r="14" customFormat="false" ht="39.55" hidden="false" customHeight="false" outlineLevel="0" collapsed="false">
      <c r="A14" s="2" t="s">
        <v>104</v>
      </c>
      <c r="B14" s="3" t="s">
        <v>105</v>
      </c>
      <c r="C14" s="2" t="s">
        <v>106</v>
      </c>
      <c r="D14" s="4" t="s">
        <v>107</v>
      </c>
      <c r="E14" s="3" t="s">
        <v>108</v>
      </c>
      <c r="F14" s="3" t="s">
        <v>109</v>
      </c>
      <c r="G14" s="5" t="n">
        <v>45658</v>
      </c>
      <c r="H14" s="5" t="n">
        <v>46022</v>
      </c>
      <c r="I14" s="6" t="n">
        <v>0.55</v>
      </c>
      <c r="J14" s="2" t="s">
        <v>24</v>
      </c>
      <c r="K14" s="7" t="n">
        <v>55000000</v>
      </c>
      <c r="L14" s="6" t="n">
        <v>0.5</v>
      </c>
      <c r="M14" s="8" t="n">
        <f aca="false">K14*L14</f>
        <v>27500000</v>
      </c>
      <c r="N14" s="7" t="n">
        <v>130000000</v>
      </c>
      <c r="O14" s="9" t="n">
        <f aca="false">N14/K14</f>
        <v>2.36363636363636</v>
      </c>
      <c r="P14" s="2" t="s">
        <v>25</v>
      </c>
      <c r="Q14" s="4" t="s">
        <v>110</v>
      </c>
      <c r="R14" s="4" t="s">
        <v>111</v>
      </c>
    </row>
    <row r="15" customFormat="false" ht="39.55" hidden="false" customHeight="false" outlineLevel="0" collapsed="false">
      <c r="A15" s="2" t="s">
        <v>112</v>
      </c>
      <c r="B15" s="3" t="s">
        <v>113</v>
      </c>
      <c r="C15" s="2" t="s">
        <v>106</v>
      </c>
      <c r="D15" s="4" t="s">
        <v>114</v>
      </c>
      <c r="E15" s="3" t="s">
        <v>108</v>
      </c>
      <c r="F15" s="3" t="s">
        <v>109</v>
      </c>
      <c r="G15" s="5" t="n">
        <v>45536</v>
      </c>
      <c r="H15" s="5" t="n">
        <v>45930</v>
      </c>
      <c r="I15" s="6" t="n">
        <v>0.9</v>
      </c>
      <c r="J15" s="2" t="s">
        <v>24</v>
      </c>
      <c r="K15" s="7" t="n">
        <v>50000000</v>
      </c>
      <c r="L15" s="6" t="n">
        <v>0.85</v>
      </c>
      <c r="M15" s="8" t="n">
        <f aca="false">K15*L15</f>
        <v>42500000</v>
      </c>
      <c r="N15" s="7" t="n">
        <v>100000000</v>
      </c>
      <c r="O15" s="9" t="n">
        <f aca="false">N15/K15</f>
        <v>2</v>
      </c>
      <c r="P15" s="2" t="s">
        <v>25</v>
      </c>
      <c r="Q15" s="4" t="s">
        <v>115</v>
      </c>
      <c r="R15" s="4" t="s">
        <v>116</v>
      </c>
    </row>
    <row r="17" customFormat="false" ht="15" hidden="false" customHeight="false" outlineLevel="0" collapsed="false">
      <c r="A17" s="10" t="s">
        <v>117</v>
      </c>
    </row>
  </sheetData>
  <conditionalFormatting sqref="J2:J15">
    <cfRule type="cellIs" priority="2" operator="equal" aboveAverage="0" equalAverage="0" bottom="0" percent="0" rank="0" text="" dxfId="11">
      <formula>"En riesgo"</formula>
    </cfRule>
    <cfRule type="cellIs" priority="3" operator="equal" aboveAverage="0" equalAverage="0" bottom="0" percent="0" rank="0" text="" dxfId="12">
      <formula>"Pausado"</formula>
    </cfRule>
    <cfRule type="cellIs" priority="4" operator="equal" aboveAverage="0" equalAverage="0" bottom="0" percent="0" rank="0" text="" dxfId="13">
      <formula>"Planificación"</formula>
    </cfRule>
    <cfRule type="cellIs" priority="5" operator="equal" aboveAverage="0" equalAverage="0" bottom="0" percent="0" rank="0" text="" dxfId="14">
      <formula>"En ejecución"</formula>
    </cfRule>
    <cfRule type="cellIs" priority="6" operator="equal" aboveAverage="0" equalAverage="0" bottom="0" percent="0" rank="0" text="" dxfId="15">
      <formula>"Completado"</formula>
    </cfRule>
  </conditionalFormatting>
  <conditionalFormatting sqref="P2:P15">
    <cfRule type="cellIs" priority="7" operator="equal" aboveAverage="0" equalAverage="0" bottom="0" percent="0" rank="0" text="" dxfId="11">
      <formula>"Crítico"</formula>
    </cfRule>
    <cfRule type="cellIs" priority="8" operator="equal" aboveAverage="0" equalAverage="0" bottom="0" percent="0" rank="0" text="" dxfId="16">
      <formula>"Alto"</formula>
    </cfRule>
    <cfRule type="cellIs" priority="9" operator="equal" aboveAverage="0" equalAverage="0" bottom="0" percent="0" rank="0" text="" dxfId="15">
      <formula>"Medio"</formula>
    </cfRule>
    <cfRule type="cellIs" priority="10" operator="equal" aboveAverage="0" equalAverage="0" bottom="0" percent="0" rank="0" text="" dxfId="14">
      <formula>"Bajo"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1"/>
  </cols>
  <sheetData>
    <row r="1" customFormat="false" ht="16.15" hidden="false" customHeight="false" outlineLevel="0" collapsed="false">
      <c r="A1" s="11" t="s">
        <v>118</v>
      </c>
      <c r="B1" s="11"/>
    </row>
    <row r="3" customFormat="false" ht="15" hidden="false" customHeight="false" outlineLevel="0" collapsed="false">
      <c r="A3" s="12" t="s">
        <v>119</v>
      </c>
      <c r="B3" s="13" t="n">
        <f aca="false">COUNTA(Proyectos!A2:A15)</f>
        <v>14</v>
      </c>
    </row>
    <row r="4" customFormat="false" ht="15" hidden="false" customHeight="false" outlineLevel="0" collapsed="false">
      <c r="A4" s="12"/>
    </row>
    <row r="5" customFormat="false" ht="15" hidden="false" customHeight="false" outlineLevel="0" collapsed="false">
      <c r="A5" s="12" t="s">
        <v>24</v>
      </c>
      <c r="B5" s="13" t="n">
        <f aca="false">COUNTIF(Proyectos!J2:J15,"En ejecución")</f>
        <v>6</v>
      </c>
    </row>
    <row r="6" customFormat="false" ht="15" hidden="false" customHeight="false" outlineLevel="0" collapsed="false">
      <c r="A6" s="12" t="s">
        <v>33</v>
      </c>
      <c r="B6" s="13" t="n">
        <f aca="false">COUNTIF(Proyectos!J2:J15,"En riesgo")</f>
        <v>4</v>
      </c>
    </row>
    <row r="7" customFormat="false" ht="15" hidden="false" customHeight="false" outlineLevel="0" collapsed="false">
      <c r="A7" s="12" t="s">
        <v>120</v>
      </c>
      <c r="B7" s="13" t="n">
        <f aca="false">COUNTIF(Proyectos!J2:J15,"Pausado")</f>
        <v>2</v>
      </c>
    </row>
    <row r="8" customFormat="false" ht="15" hidden="false" customHeight="false" outlineLevel="0" collapsed="false">
      <c r="A8" s="12" t="s">
        <v>83</v>
      </c>
      <c r="B8" s="13" t="n">
        <f aca="false">COUNTIF(Proyectos!J2:J15,"Planificación")</f>
        <v>1</v>
      </c>
    </row>
    <row r="9" customFormat="false" ht="15" hidden="false" customHeight="false" outlineLevel="0" collapsed="false">
      <c r="A9" s="12" t="s">
        <v>121</v>
      </c>
      <c r="B9" s="13" t="n">
        <f aca="false">COUNTIF(Proyectos!J2:J15,"Completado")</f>
        <v>1</v>
      </c>
    </row>
    <row r="10" customFormat="false" ht="15" hidden="false" customHeight="false" outlineLevel="0" collapsed="false">
      <c r="A10" s="12"/>
    </row>
    <row r="11" customFormat="false" ht="15" hidden="false" customHeight="false" outlineLevel="0" collapsed="false">
      <c r="A11" s="12" t="s">
        <v>122</v>
      </c>
      <c r="B11" s="13" t="n">
        <f aca="false">COUNTIF(Proyectos!C2:C15,"Operacional")</f>
        <v>5</v>
      </c>
    </row>
    <row r="12" customFormat="false" ht="15" hidden="false" customHeight="false" outlineLevel="0" collapsed="false">
      <c r="A12" s="12" t="s">
        <v>123</v>
      </c>
      <c r="B12" s="13" t="n">
        <f aca="false">COUNTIF(Proyectos!C2:C15,"Comercial")</f>
        <v>4</v>
      </c>
    </row>
    <row r="13" customFormat="false" ht="15" hidden="false" customHeight="false" outlineLevel="0" collapsed="false">
      <c r="A13" s="12" t="s">
        <v>124</v>
      </c>
      <c r="B13" s="13" t="n">
        <f aca="false">COUNTIF(Proyectos!C2:C15,"Tecnológico")</f>
        <v>3</v>
      </c>
    </row>
    <row r="14" customFormat="false" ht="15" hidden="false" customHeight="false" outlineLevel="0" collapsed="false">
      <c r="A14" s="12" t="s">
        <v>125</v>
      </c>
      <c r="B14" s="13" t="n">
        <f aca="false">COUNTIF(Proyectos!C2:C15,"RRHH")</f>
        <v>2</v>
      </c>
    </row>
    <row r="15" customFormat="false" ht="15" hidden="false" customHeight="false" outlineLevel="0" collapsed="false">
      <c r="A15" s="12"/>
    </row>
    <row r="16" customFormat="false" ht="15" hidden="false" customHeight="false" outlineLevel="0" collapsed="false">
      <c r="A16" s="12" t="s">
        <v>126</v>
      </c>
      <c r="B16" s="14" t="n">
        <f aca="false">SUM(Proyectos!K2:K15)</f>
        <v>2105000000</v>
      </c>
    </row>
    <row r="17" customFormat="false" ht="15" hidden="false" customHeight="false" outlineLevel="0" collapsed="false">
      <c r="A17" s="12" t="s">
        <v>127</v>
      </c>
      <c r="B17" s="14" t="n">
        <f aca="false">SUM(Proyectos!M2:M15)</f>
        <v>1179050000</v>
      </c>
    </row>
    <row r="18" customFormat="false" ht="15" hidden="false" customHeight="false" outlineLevel="0" collapsed="false">
      <c r="A18" s="12" t="s">
        <v>128</v>
      </c>
      <c r="B18" s="15" t="n">
        <f aca="false">B17/B16</f>
        <v>0.560118764845606</v>
      </c>
    </row>
    <row r="19" customFormat="false" ht="15" hidden="false" customHeight="false" outlineLevel="0" collapsed="false">
      <c r="A19" s="12" t="s">
        <v>129</v>
      </c>
      <c r="B19" s="14" t="n">
        <f aca="false">SUM(Proyectos!N2:N15)</f>
        <v>3840000000</v>
      </c>
    </row>
    <row r="20" customFormat="false" ht="15" hidden="false" customHeight="false" outlineLevel="0" collapsed="false">
      <c r="A20" s="12" t="s">
        <v>130</v>
      </c>
      <c r="B20" s="15" t="n">
        <f aca="false">B19/B16</f>
        <v>1.82422802850356</v>
      </c>
    </row>
    <row r="21" customFormat="false" ht="15" hidden="false" customHeight="false" outlineLevel="0" collapsed="false">
      <c r="A21" s="12"/>
    </row>
    <row r="22" customFormat="false" ht="15" hidden="false" customHeight="false" outlineLevel="0" collapsed="false">
      <c r="A22" s="12" t="s">
        <v>131</v>
      </c>
      <c r="B22" s="13" t="n">
        <f aca="false">COUNTIF(Proyectos!P2:P15,"Crítico")+COUNTIF(Proyectos!P2:P15,"Alto")</f>
        <v>5</v>
      </c>
    </row>
    <row r="24" customFormat="false" ht="15" hidden="false" customHeight="false" outlineLevel="0" collapsed="false">
      <c r="A24" s="16" t="s">
        <v>132</v>
      </c>
    </row>
    <row r="25" customFormat="false" ht="15" hidden="false" customHeight="false" outlineLevel="0" collapsed="false">
      <c r="A25" s="17" t="s">
        <v>133</v>
      </c>
      <c r="B25" s="17" t="s">
        <v>1</v>
      </c>
      <c r="C25" s="17" t="s">
        <v>9</v>
      </c>
      <c r="D25" s="17" t="s">
        <v>15</v>
      </c>
      <c r="E25" s="17" t="s">
        <v>134</v>
      </c>
      <c r="F25" s="17" t="s">
        <v>8</v>
      </c>
    </row>
    <row r="26" customFormat="false" ht="15" hidden="false" customHeight="false" outlineLevel="0" collapsed="false">
      <c r="A26" s="12" t="str">
        <f aca="false">Proyectos!A3</f>
        <v>PROY-002</v>
      </c>
      <c r="B26" s="12" t="str">
        <f aca="false">Proyectos!B3</f>
        <v>Implementación de WMS y Automatización de Bodega</v>
      </c>
      <c r="C26" s="12" t="str">
        <f aca="false">Proyectos!J3</f>
        <v>En riesgo</v>
      </c>
      <c r="D26" s="12" t="str">
        <f aca="false">Proyectos!P3</f>
        <v>Alto</v>
      </c>
      <c r="E26" s="12" t="str">
        <f aca="false">Proyectos!F3</f>
        <v>Wilson Pacheco Redondo</v>
      </c>
      <c r="F26" s="18" t="n">
        <f aca="false">Proyectos!I3</f>
        <v>0.4</v>
      </c>
    </row>
    <row r="27" customFormat="false" ht="15" hidden="false" customHeight="false" outlineLevel="0" collapsed="false">
      <c r="A27" s="12" t="str">
        <f aca="false">Proyectos!A6</f>
        <v>PROY-005</v>
      </c>
      <c r="B27" s="12" t="str">
        <f aca="false">Proyectos!B6</f>
        <v>Mejora de Tiempos de Entrega Última Milla</v>
      </c>
      <c r="C27" s="12" t="str">
        <f aca="false">Proyectos!J6</f>
        <v>Pausado</v>
      </c>
      <c r="D27" s="12" t="str">
        <f aca="false">Proyectos!P6</f>
        <v>Alto</v>
      </c>
      <c r="E27" s="12" t="str">
        <f aca="false">Proyectos!F6</f>
        <v>María Núñez Romero</v>
      </c>
      <c r="F27" s="18" t="n">
        <f aca="false">Proyectos!I6</f>
        <v>0.25</v>
      </c>
    </row>
    <row r="28" customFormat="false" ht="15" hidden="false" customHeight="false" outlineLevel="0" collapsed="false">
      <c r="A28" s="12" t="str">
        <f aca="false">Proyectos!A7</f>
        <v>PROY-006</v>
      </c>
      <c r="B28" s="12" t="str">
        <f aca="false">Proyectos!B7</f>
        <v>Expansión Comercial a Santa Marta y Valledupar</v>
      </c>
      <c r="C28" s="12" t="str">
        <f aca="false">Proyectos!J7</f>
        <v>En riesgo</v>
      </c>
      <c r="D28" s="12" t="str">
        <f aca="false">Proyectos!P7</f>
        <v>Crítico</v>
      </c>
      <c r="E28" s="12" t="str">
        <f aca="false">Proyectos!F7</f>
        <v>Eduardo Jiménez Torres</v>
      </c>
      <c r="F28" s="18" t="n">
        <f aca="false">Proyectos!I7</f>
        <v>0.45</v>
      </c>
    </row>
    <row r="29" customFormat="false" ht="15" hidden="false" customHeight="false" outlineLevel="0" collapsed="false">
      <c r="A29" s="12" t="str">
        <f aca="false">Proyectos!A11</f>
        <v>PROY-010</v>
      </c>
      <c r="B29" s="12" t="str">
        <f aca="false">Proyectos!B11</f>
        <v>Implementación de ERP Corporativo</v>
      </c>
      <c r="C29" s="12" t="str">
        <f aca="false">Proyectos!J11</f>
        <v>En riesgo</v>
      </c>
      <c r="D29" s="12" t="str">
        <f aca="false">Proyectos!P11</f>
        <v>Crítico</v>
      </c>
      <c r="E29" s="12" t="str">
        <f aca="false">Proyectos!F11</f>
        <v>Diana Muñoz Rodríguez</v>
      </c>
      <c r="F29" s="18" t="n">
        <f aca="false">Proyectos!I11</f>
        <v>0.55</v>
      </c>
    </row>
    <row r="30" customFormat="false" ht="15" hidden="false" customHeight="false" outlineLevel="0" collapsed="false">
      <c r="A30" s="12" t="str">
        <f aca="false">Proyectos!A13</f>
        <v>PROY-012</v>
      </c>
      <c r="B30" s="12" t="str">
        <f aca="false">Proyectos!B13</f>
        <v>Dashboard de Business Intelligence Comercial y Logístico</v>
      </c>
      <c r="C30" s="12" t="str">
        <f aca="false">Proyectos!J13</f>
        <v>En riesgo</v>
      </c>
      <c r="D30" s="12" t="str">
        <f aca="false">Proyectos!P13</f>
        <v>Alto</v>
      </c>
      <c r="E30" s="12" t="str">
        <f aca="false">Proyectos!F13</f>
        <v>Diana Muñoz Rodríguez</v>
      </c>
      <c r="F30" s="18" t="n">
        <f aca="false">Proyectos!I13</f>
        <v>0.2</v>
      </c>
    </row>
    <row r="33" customFormat="false" ht="15" hidden="false" customHeight="false" outlineLevel="0" collapsed="false">
      <c r="A33" s="16" t="s">
        <v>135</v>
      </c>
    </row>
    <row r="34" customFormat="false" ht="15" hidden="false" customHeight="false" outlineLevel="0" collapsed="false">
      <c r="A34" s="17" t="s">
        <v>133</v>
      </c>
      <c r="B34" s="17" t="s">
        <v>1</v>
      </c>
      <c r="C34" s="17" t="s">
        <v>2</v>
      </c>
      <c r="D34" s="17" t="s">
        <v>10</v>
      </c>
      <c r="E34" s="17" t="s">
        <v>136</v>
      </c>
      <c r="F34" s="17" t="s">
        <v>137</v>
      </c>
    </row>
    <row r="35" customFormat="false" ht="15" hidden="false" customHeight="false" outlineLevel="0" collapsed="false">
      <c r="A35" s="12" t="str">
        <f aca="false">Proyectos!A7</f>
        <v>PROY-006</v>
      </c>
      <c r="B35" s="12" t="str">
        <f aca="false">Proyectos!B7</f>
        <v>Expansión Comercial a Santa Marta y Valledupar</v>
      </c>
      <c r="C35" s="12" t="str">
        <f aca="false">Proyectos!C7</f>
        <v>Comercial</v>
      </c>
      <c r="D35" s="19" t="n">
        <f aca="false">Proyectos!K7</f>
        <v>280000000</v>
      </c>
      <c r="E35" s="19" t="n">
        <f aca="false">Proyectos!N7</f>
        <v>700000000</v>
      </c>
      <c r="F35" s="18" t="n">
        <f aca="false">Proyectos!O7</f>
        <v>2.5</v>
      </c>
    </row>
    <row r="36" customFormat="false" ht="15" hidden="false" customHeight="false" outlineLevel="0" collapsed="false">
      <c r="A36" s="12" t="str">
        <f aca="false">Proyectos!A14</f>
        <v>PROY-013</v>
      </c>
      <c r="B36" s="12" t="str">
        <f aca="false">Proyectos!B14</f>
        <v>Programa de Capacitación y Desarrollo de Talento</v>
      </c>
      <c r="C36" s="12" t="str">
        <f aca="false">Proyectos!C14</f>
        <v>RRHH</v>
      </c>
      <c r="D36" s="19" t="n">
        <f aca="false">Proyectos!K14</f>
        <v>55000000</v>
      </c>
      <c r="E36" s="19" t="n">
        <f aca="false">Proyectos!N14</f>
        <v>130000000</v>
      </c>
      <c r="F36" s="18" t="n">
        <f aca="false">Proyectos!O14</f>
        <v>2.36363636363636</v>
      </c>
    </row>
    <row r="37" customFormat="false" ht="15" hidden="false" customHeight="false" outlineLevel="0" collapsed="false">
      <c r="A37" s="12" t="str">
        <f aca="false">Proyectos!A2</f>
        <v>PROY-001</v>
      </c>
      <c r="B37" s="12" t="str">
        <f aca="false">Proyectos!B2</f>
        <v>Optimización de Rutas de Distribución</v>
      </c>
      <c r="C37" s="12" t="str">
        <f aca="false">Proyectos!C2</f>
        <v>Operacional</v>
      </c>
      <c r="D37" s="19" t="n">
        <f aca="false">Proyectos!K2</f>
        <v>180000000</v>
      </c>
      <c r="E37" s="19" t="n">
        <f aca="false">Proyectos!N2</f>
        <v>420000000</v>
      </c>
      <c r="F37" s="18" t="n">
        <f aca="false">Proyectos!O2</f>
        <v>2.33333333333333</v>
      </c>
    </row>
    <row r="38" customFormat="false" ht="15" hidden="false" customHeight="false" outlineLevel="0" collapsed="false">
      <c r="A38" s="12" t="str">
        <f aca="false">Proyectos!A5</f>
        <v>PROY-004</v>
      </c>
      <c r="B38" s="12" t="str">
        <f aca="false">Proyectos!B5</f>
        <v>Optimización de Compras y Proveedores</v>
      </c>
      <c r="C38" s="12" t="str">
        <f aca="false">Proyectos!C5</f>
        <v>Operacional</v>
      </c>
      <c r="D38" s="19" t="n">
        <f aca="false">Proyectos!K5</f>
        <v>60000000</v>
      </c>
      <c r="E38" s="19" t="n">
        <f aca="false">Proyectos!N5</f>
        <v>140000000</v>
      </c>
      <c r="F38" s="18" t="n">
        <f aca="false">Proyectos!O5</f>
        <v>2.33333333333333</v>
      </c>
    </row>
    <row r="39" customFormat="false" ht="15" hidden="false" customHeight="false" outlineLevel="0" collapsed="false">
      <c r="A39" s="12" t="str">
        <f aca="false">Proyectos!A9</f>
        <v>PROY-008</v>
      </c>
      <c r="B39" s="12" t="str">
        <f aca="false">Proyectos!B9</f>
        <v>Relanzamiento de Marca Propia Andina Selecta</v>
      </c>
      <c r="C39" s="12" t="str">
        <f aca="false">Proyectos!C9</f>
        <v>Comercial</v>
      </c>
      <c r="D39" s="19" t="n">
        <f aca="false">Proyectos!K9</f>
        <v>130000000</v>
      </c>
      <c r="E39" s="19" t="n">
        <f aca="false">Proyectos!N9</f>
        <v>260000000</v>
      </c>
      <c r="F39" s="18" t="n">
        <f aca="false">Proyectos!O9</f>
        <v>2</v>
      </c>
    </row>
    <row r="40" customFormat="false" ht="15" hidden="false" customHeight="false" outlineLevel="0" collapsed="false">
      <c r="A40" s="12" t="str">
        <f aca="false">Proyectos!A10</f>
        <v>PROY-009</v>
      </c>
      <c r="B40" s="12" t="str">
        <f aca="false">Proyectos!B10</f>
        <v>Fortalecimiento del Canal Institucional</v>
      </c>
      <c r="C40" s="12" t="str">
        <f aca="false">Proyectos!C10</f>
        <v>Comercial</v>
      </c>
      <c r="D40" s="19" t="n">
        <f aca="false">Proyectos!K10</f>
        <v>95000000</v>
      </c>
      <c r="E40" s="19" t="n">
        <f aca="false">Proyectos!N10</f>
        <v>190000000</v>
      </c>
      <c r="F40" s="18" t="n">
        <f aca="false">Proyectos!O10</f>
        <v>2</v>
      </c>
    </row>
    <row r="41" customFormat="false" ht="15" hidden="false" customHeight="false" outlineLevel="0" collapsed="false">
      <c r="A41" s="12" t="str">
        <f aca="false">Proyectos!A12</f>
        <v>PROY-011</v>
      </c>
      <c r="B41" s="12" t="str">
        <f aca="false">Proyectos!B12</f>
        <v>Automatización de Facturación Electrónica y Cobranza Digital</v>
      </c>
      <c r="C41" s="12" t="str">
        <f aca="false">Proyectos!C12</f>
        <v>Tecnológico</v>
      </c>
      <c r="D41" s="19" t="n">
        <f aca="false">Proyectos!K12</f>
        <v>85000000</v>
      </c>
      <c r="E41" s="19" t="n">
        <f aca="false">Proyectos!N12</f>
        <v>170000000</v>
      </c>
      <c r="F41" s="18" t="n">
        <f aca="false">Proyectos!O12</f>
        <v>2</v>
      </c>
    </row>
    <row r="42" customFormat="false" ht="15" hidden="false" customHeight="false" outlineLevel="0" collapsed="false">
      <c r="A42" s="12" t="str">
        <f aca="false">Proyectos!A15</f>
        <v>PROY-014</v>
      </c>
      <c r="B42" s="12" t="str">
        <f aca="false">Proyectos!B15</f>
        <v>Plan de Bienestar y Retención de Personal</v>
      </c>
      <c r="C42" s="12" t="str">
        <f aca="false">Proyectos!C15</f>
        <v>RRHH</v>
      </c>
      <c r="D42" s="19" t="n">
        <f aca="false">Proyectos!K15</f>
        <v>50000000</v>
      </c>
      <c r="E42" s="19" t="n">
        <f aca="false">Proyectos!N15</f>
        <v>100000000</v>
      </c>
      <c r="F42" s="18" t="n">
        <f aca="false">Proyectos!O15</f>
        <v>2</v>
      </c>
    </row>
    <row r="43" customFormat="false" ht="15" hidden="false" customHeight="false" outlineLevel="0" collapsed="false">
      <c r="A43" s="12" t="str">
        <f aca="false">Proyectos!A8</f>
        <v>PROY-007</v>
      </c>
      <c r="B43" s="12" t="str">
        <f aca="false">Proyectos!B8</f>
        <v>Programa de Fidelización de Clientes</v>
      </c>
      <c r="C43" s="12" t="str">
        <f aca="false">Proyectos!C8</f>
        <v>Comercial</v>
      </c>
      <c r="D43" s="19" t="n">
        <f aca="false">Proyectos!K8</f>
        <v>70000000</v>
      </c>
      <c r="E43" s="19" t="n">
        <f aca="false">Proyectos!N8</f>
        <v>130000000</v>
      </c>
      <c r="F43" s="18" t="n">
        <f aca="false">Proyectos!O8</f>
        <v>1.85714285714286</v>
      </c>
    </row>
    <row r="44" customFormat="false" ht="15" hidden="false" customHeight="false" outlineLevel="0" collapsed="false">
      <c r="A44" s="12" t="str">
        <f aca="false">Proyectos!A6</f>
        <v>PROY-005</v>
      </c>
      <c r="B44" s="12" t="str">
        <f aca="false">Proyectos!B6</f>
        <v>Mejora de Tiempos de Entrega Última Milla</v>
      </c>
      <c r="C44" s="12" t="str">
        <f aca="false">Proyectos!C6</f>
        <v>Operacional</v>
      </c>
      <c r="D44" s="19" t="n">
        <f aca="false">Proyectos!K6</f>
        <v>150000000</v>
      </c>
      <c r="E44" s="19" t="n">
        <f aca="false">Proyectos!N6</f>
        <v>260000000</v>
      </c>
      <c r="F44" s="18" t="n">
        <f aca="false">Proyectos!O6</f>
        <v>1.73333333333333</v>
      </c>
    </row>
    <row r="45" customFormat="false" ht="15" hidden="false" customHeight="false" outlineLevel="0" collapsed="false">
      <c r="A45" s="12" t="str">
        <f aca="false">Proyectos!A4</f>
        <v>PROY-003</v>
      </c>
      <c r="B45" s="12" t="str">
        <f aca="false">Proyectos!B4</f>
        <v>Programa de Reducción de Mermas en Bodega</v>
      </c>
      <c r="C45" s="12" t="str">
        <f aca="false">Proyectos!C4</f>
        <v>Operacional</v>
      </c>
      <c r="D45" s="19" t="n">
        <f aca="false">Proyectos!K4</f>
        <v>90000000</v>
      </c>
      <c r="E45" s="19" t="n">
        <f aca="false">Proyectos!N4</f>
        <v>150000000</v>
      </c>
      <c r="F45" s="18" t="n">
        <f aca="false">Proyectos!O4</f>
        <v>1.66666666666667</v>
      </c>
    </row>
    <row r="46" customFormat="false" ht="15" hidden="false" customHeight="false" outlineLevel="0" collapsed="false">
      <c r="A46" s="12" t="str">
        <f aca="false">Proyectos!A3</f>
        <v>PROY-002</v>
      </c>
      <c r="B46" s="12" t="str">
        <f aca="false">Proyectos!B3</f>
        <v>Implementación de WMS y Automatización de Bodega</v>
      </c>
      <c r="C46" s="12" t="str">
        <f aca="false">Proyectos!C3</f>
        <v>Operacional</v>
      </c>
      <c r="D46" s="19" t="n">
        <f aca="false">Proyectos!K3</f>
        <v>320000000</v>
      </c>
      <c r="E46" s="19" t="n">
        <f aca="false">Proyectos!N3</f>
        <v>480000000</v>
      </c>
      <c r="F46" s="18" t="n">
        <f aca="false">Proyectos!O3</f>
        <v>1.5</v>
      </c>
    </row>
    <row r="47" customFormat="false" ht="15" hidden="false" customHeight="false" outlineLevel="0" collapsed="false">
      <c r="A47" s="12" t="str">
        <f aca="false">Proyectos!A13</f>
        <v>PROY-012</v>
      </c>
      <c r="B47" s="12" t="str">
        <f aca="false">Proyectos!B13</f>
        <v>Dashboard de Business Intelligence Comercial y Logístico</v>
      </c>
      <c r="C47" s="12" t="str">
        <f aca="false">Proyectos!C13</f>
        <v>Tecnológico</v>
      </c>
      <c r="D47" s="19" t="n">
        <f aca="false">Proyectos!K13</f>
        <v>60000000</v>
      </c>
      <c r="E47" s="19" t="n">
        <f aca="false">Proyectos!N13</f>
        <v>90000000</v>
      </c>
      <c r="F47" s="18" t="n">
        <f aca="false">Proyectos!O13</f>
        <v>1.5</v>
      </c>
    </row>
    <row r="48" customFormat="false" ht="15" hidden="false" customHeight="false" outlineLevel="0" collapsed="false">
      <c r="A48" s="12" t="str">
        <f aca="false">Proyectos!A11</f>
        <v>PROY-010</v>
      </c>
      <c r="B48" s="12" t="str">
        <f aca="false">Proyectos!B11</f>
        <v>Implementación de ERP Corporativo</v>
      </c>
      <c r="C48" s="12" t="str">
        <f aca="false">Proyectos!C11</f>
        <v>Tecnológico</v>
      </c>
      <c r="D48" s="19" t="n">
        <f aca="false">Proyectos!K11</f>
        <v>480000000</v>
      </c>
      <c r="E48" s="19" t="n">
        <f aca="false">Proyectos!N11</f>
        <v>620000000</v>
      </c>
      <c r="F48" s="18" t="n">
        <f aca="false">Proyectos!O11</f>
        <v>1.29166666666667</v>
      </c>
    </row>
    <row r="50" customFormat="false" ht="15" hidden="false" customHeight="false" outlineLevel="0" collapsed="false">
      <c r="A50" s="10" t="s">
        <v>138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2026-08-11T03:39:00Z</dcterms:created>
  <dc:creator>openpyxl</dc:creator>
  <dc:description/>
  <dc:language>en-US</dc:language>
  <cp:lastModifiedBy/>
  <dcterms:modified xsi:type="dcterms:W3CDTF">2026-08-11T03:39:00Z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