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ciones" sheetId="1" state="visible" r:id="rId3"/>
    <sheet name="Resumen Mensu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<sst xmlns="http://schemas.openxmlformats.org/spreadsheetml/2006/main" count="2470" uniqueCount="749">
  <si>
    <t xml:space="preserve">Fecha</t>
  </si>
  <si>
    <t xml:space="preserve">Documento</t>
  </si>
  <si>
    <t xml:space="preserve">ID Cliente</t>
  </si>
  <si>
    <t xml:space="preserve">Cliente</t>
  </si>
  <si>
    <t xml:space="preserve">SKU Producto</t>
  </si>
  <si>
    <t xml:space="preserve">Producto</t>
  </si>
  <si>
    <t xml:space="preserve">Categoría</t>
  </si>
  <si>
    <t xml:space="preserve">Canal</t>
  </si>
  <si>
    <t xml:space="preserve">Cantidad</t>
  </si>
  <si>
    <t xml:space="preserve">Valor Unitario (COP)</t>
  </si>
  <si>
    <t xml:space="preserve">Valor Total (COP)</t>
  </si>
  <si>
    <t xml:space="preserve">Descuento %</t>
  </si>
  <si>
    <t xml:space="preserve">Valor Neto (COP)</t>
  </si>
  <si>
    <t xml:space="preserve">% Costo COGS</t>
  </si>
  <si>
    <t xml:space="preserve">Costo COGS (COP)</t>
  </si>
  <si>
    <t xml:space="preserve">Utilidad Bruta (COP)</t>
  </si>
  <si>
    <t xml:space="preserve">Estado</t>
  </si>
  <si>
    <t xml:space="preserve">Mes</t>
  </si>
  <si>
    <t xml:space="preserve">FAC001</t>
  </si>
  <si>
    <t xml:space="preserve">C087</t>
  </si>
  <si>
    <t xml:space="preserve">Minimercado La Fe</t>
  </si>
  <si>
    <t xml:space="preserve">P110</t>
  </si>
  <si>
    <t xml:space="preserve">Atún en Lata Lata 170g (99)</t>
  </si>
  <si>
    <t xml:space="preserve">Alimentos</t>
  </si>
  <si>
    <t xml:space="preserve">Tienda tradicional</t>
  </si>
  <si>
    <t xml:space="preserve">Pagado</t>
  </si>
  <si>
    <t xml:space="preserve">FAC002</t>
  </si>
  <si>
    <t xml:space="preserve">C142</t>
  </si>
  <si>
    <t xml:space="preserve">Minimercado San Judas</t>
  </si>
  <si>
    <t xml:space="preserve">P082</t>
  </si>
  <si>
    <t xml:space="preserve">Café Instantáneo Frasco 170g (76)</t>
  </si>
  <si>
    <t xml:space="preserve">Bebidas</t>
  </si>
  <si>
    <t xml:space="preserve">FAC003</t>
  </si>
  <si>
    <t xml:space="preserve">C032</t>
  </si>
  <si>
    <t xml:space="preserve">Clínica El Marqués</t>
  </si>
  <si>
    <t xml:space="preserve">P015</t>
  </si>
  <si>
    <t xml:space="preserve">Jugo de Naranja Natural 1L</t>
  </si>
  <si>
    <t xml:space="preserve">Marca propia</t>
  </si>
  <si>
    <t xml:space="preserve">Institucional</t>
  </si>
  <si>
    <t xml:space="preserve">FAC004</t>
  </si>
  <si>
    <t xml:space="preserve">C059</t>
  </si>
  <si>
    <t xml:space="preserve">Supermercado El Rey</t>
  </si>
  <si>
    <t xml:space="preserve">P013</t>
  </si>
  <si>
    <t xml:space="preserve">Atún en Lata Lata 170g</t>
  </si>
  <si>
    <t xml:space="preserve">Supermercado</t>
  </si>
  <si>
    <t xml:space="preserve">FAC005</t>
  </si>
  <si>
    <t xml:space="preserve">C075</t>
  </si>
  <si>
    <t xml:space="preserve">Autoservicios La Economía</t>
  </si>
  <si>
    <t xml:space="preserve">P039</t>
  </si>
  <si>
    <t xml:space="preserve">Gaseosa Sabor Cola 1.5L</t>
  </si>
  <si>
    <t xml:space="preserve">FAC006</t>
  </si>
  <si>
    <t xml:space="preserve">C050</t>
  </si>
  <si>
    <t xml:space="preserve">Autoservicios La Bonanza</t>
  </si>
  <si>
    <t xml:space="preserve">P073</t>
  </si>
  <si>
    <t xml:space="preserve">Avena Lista para Tomar 1L (32)</t>
  </si>
  <si>
    <t xml:space="preserve">FAC007</t>
  </si>
  <si>
    <t xml:space="preserve">C084</t>
  </si>
  <si>
    <t xml:space="preserve">Hospital Santa Marta de la Sierra</t>
  </si>
  <si>
    <t xml:space="preserve">P036</t>
  </si>
  <si>
    <t xml:space="preserve">Ponqué Industrial Paquete 220g</t>
  </si>
  <si>
    <t xml:space="preserve">FAC008</t>
  </si>
  <si>
    <t xml:space="preserve">C027</t>
  </si>
  <si>
    <t xml:space="preserve">Hipermercado El Cacique</t>
  </si>
  <si>
    <t xml:space="preserve">P032</t>
  </si>
  <si>
    <t xml:space="preserve">Chocolate en Polvo para Bebida Bolsa 400g</t>
  </si>
  <si>
    <t xml:space="preserve">FAC009</t>
  </si>
  <si>
    <t xml:space="preserve">C020</t>
  </si>
  <si>
    <t xml:space="preserve">Hipermercado El Rey</t>
  </si>
  <si>
    <t xml:space="preserve">FAC010</t>
  </si>
  <si>
    <t xml:space="preserve">C039</t>
  </si>
  <si>
    <t xml:space="preserve">Colegio El Bosque</t>
  </si>
  <si>
    <t xml:space="preserve">P012</t>
  </si>
  <si>
    <t xml:space="preserve">Salchicha Tipo Viena Paquete 500g</t>
  </si>
  <si>
    <t xml:space="preserve">FAC011</t>
  </si>
  <si>
    <t xml:space="preserve">Supuestos: % Incremento 2025 e % Cartera Vencida son valores de entrada (fuente: simulación para demo/analítica, no datos reales de Andina Foods S.A.S.). Cartera Vencida (COP) = Ventas 2024 × % Cartera Vencida. Ingresos 2025 (COP) = Ventas 2024 × (1 + % Incremento 2025).</t>
  </si>
  <si>
    <t xml:space="preserve">P010</t>
  </si>
  <si>
    <t xml:space="preserve">Café Instantáneo Frasco 170g</t>
  </si>
  <si>
    <t xml:space="preserve">FAC012</t>
  </si>
  <si>
    <t xml:space="preserve">C097</t>
  </si>
  <si>
    <t xml:space="preserve">Autoservicio Don Pedro</t>
  </si>
  <si>
    <t xml:space="preserve">P007</t>
  </si>
  <si>
    <t xml:space="preserve">Chocolate de Mesa Barra 500g</t>
  </si>
  <si>
    <t xml:space="preserve">Pendiente</t>
  </si>
  <si>
    <t xml:space="preserve">FAC013</t>
  </si>
  <si>
    <t xml:space="preserve">C043</t>
  </si>
  <si>
    <t xml:space="preserve">Autoservicios Central</t>
  </si>
  <si>
    <t xml:space="preserve">P014</t>
  </si>
  <si>
    <t xml:space="preserve">Galletas de Chocolate Paquete 200g</t>
  </si>
  <si>
    <t xml:space="preserve">FAC014</t>
  </si>
  <si>
    <t xml:space="preserve">C122</t>
  </si>
  <si>
    <t xml:space="preserve">Panadería San Fernando</t>
  </si>
  <si>
    <t xml:space="preserve">FAC015</t>
  </si>
  <si>
    <t xml:space="preserve">C006</t>
  </si>
  <si>
    <t xml:space="preserve">Tienda La Esquina</t>
  </si>
  <si>
    <t xml:space="preserve">P102</t>
  </si>
  <si>
    <t xml:space="preserve">Café Instantáneo Frasco 170g (77)</t>
  </si>
  <si>
    <t xml:space="preserve">FAC016</t>
  </si>
  <si>
    <t xml:space="preserve">C138</t>
  </si>
  <si>
    <t xml:space="preserve">Autoservicios La 15</t>
  </si>
  <si>
    <t xml:space="preserve">FAC017</t>
  </si>
  <si>
    <t xml:space="preserve">C008</t>
  </si>
  <si>
    <t xml:space="preserve">Autoservicios El Cacique</t>
  </si>
  <si>
    <t xml:space="preserve">P042</t>
  </si>
  <si>
    <t xml:space="preserve">Té Frío de Limón 1.5L</t>
  </si>
  <si>
    <t xml:space="preserve">FAC018</t>
  </si>
  <si>
    <t xml:space="preserve">C116</t>
  </si>
  <si>
    <t xml:space="preserve">Supermercado La Canasta</t>
  </si>
  <si>
    <t xml:space="preserve">P115</t>
  </si>
  <si>
    <t xml:space="preserve">Café Instantáneo Frasco 170g (81)</t>
  </si>
  <si>
    <t xml:space="preserve">FAC019</t>
  </si>
  <si>
    <t xml:space="preserve">C005</t>
  </si>
  <si>
    <t xml:space="preserve">Hipermercado La Bonanza</t>
  </si>
  <si>
    <t xml:space="preserve">P023</t>
  </si>
  <si>
    <t xml:space="preserve">Agua Sin Gas 1L</t>
  </si>
  <si>
    <t xml:space="preserve">FAC020</t>
  </si>
  <si>
    <t xml:space="preserve">C015</t>
  </si>
  <si>
    <t xml:space="preserve">Hipermercado La Canasta</t>
  </si>
  <si>
    <t xml:space="preserve">FAC021</t>
  </si>
  <si>
    <t xml:space="preserve">C044</t>
  </si>
  <si>
    <t xml:space="preserve">FAC022</t>
  </si>
  <si>
    <t xml:space="preserve">P112</t>
  </si>
  <si>
    <t xml:space="preserve">Agua Saborizada Limón 500ml (18)</t>
  </si>
  <si>
    <t xml:space="preserve">FAC023</t>
  </si>
  <si>
    <t xml:space="preserve">C147</t>
  </si>
  <si>
    <t xml:space="preserve">Minimercado La Bendición</t>
  </si>
  <si>
    <t xml:space="preserve">P111</t>
  </si>
  <si>
    <t xml:space="preserve">Agua Saborizada Limón 500ml (39)</t>
  </si>
  <si>
    <t xml:space="preserve">FAC024</t>
  </si>
  <si>
    <t xml:space="preserve">C030</t>
  </si>
  <si>
    <t xml:space="preserve">Fundación La Sagrada Familia</t>
  </si>
  <si>
    <t xml:space="preserve">FAC025</t>
  </si>
  <si>
    <t xml:space="preserve">C100</t>
  </si>
  <si>
    <t xml:space="preserve">Supermercado Mercar</t>
  </si>
  <si>
    <t xml:space="preserve">P103</t>
  </si>
  <si>
    <t xml:space="preserve">Galletas Saladas Paquete 300g (99)</t>
  </si>
  <si>
    <t xml:space="preserve">FAC026</t>
  </si>
  <si>
    <t xml:space="preserve">C111</t>
  </si>
  <si>
    <t xml:space="preserve">Autoservicio La Popular</t>
  </si>
  <si>
    <t xml:space="preserve">FAC027</t>
  </si>
  <si>
    <t xml:space="preserve">P076</t>
  </si>
  <si>
    <t xml:space="preserve">Salsa de Tomate Botella 400g (64)</t>
  </si>
  <si>
    <t xml:space="preserve">FAC028</t>
  </si>
  <si>
    <t xml:space="preserve">C054</t>
  </si>
  <si>
    <t xml:space="preserve">P030</t>
  </si>
  <si>
    <t xml:space="preserve">Avena Lista para Tomar 1L</t>
  </si>
  <si>
    <t xml:space="preserve">FAC029</t>
  </si>
  <si>
    <t xml:space="preserve">FAC030</t>
  </si>
  <si>
    <t xml:space="preserve">C038</t>
  </si>
  <si>
    <t xml:space="preserve">Supermercado El Cacique</t>
  </si>
  <si>
    <t xml:space="preserve">P097</t>
  </si>
  <si>
    <t xml:space="preserve">Enjuague Bucal Botella 500ml (41)</t>
  </si>
  <si>
    <t xml:space="preserve">Cuidado Personal</t>
  </si>
  <si>
    <t xml:space="preserve">FAC031</t>
  </si>
  <si>
    <t xml:space="preserve">C129</t>
  </si>
  <si>
    <t xml:space="preserve">Clínica Nuestra Señora del Carmen</t>
  </si>
  <si>
    <t xml:space="preserve">Vencido</t>
  </si>
  <si>
    <t xml:space="preserve">FAC032</t>
  </si>
  <si>
    <t xml:space="preserve">C120</t>
  </si>
  <si>
    <t xml:space="preserve">P056</t>
  </si>
  <si>
    <t xml:space="preserve">Galletas Saladas Paquete 300g (93)</t>
  </si>
  <si>
    <t xml:space="preserve">FAC033</t>
  </si>
  <si>
    <t xml:space="preserve">C061</t>
  </si>
  <si>
    <t xml:space="preserve">Tienda El Ahorro</t>
  </si>
  <si>
    <t xml:space="preserve">P055</t>
  </si>
  <si>
    <t xml:space="preserve">Aceite Vegetal Botella 1L</t>
  </si>
  <si>
    <t xml:space="preserve">FAC034</t>
  </si>
  <si>
    <t xml:space="preserve">FAC035</t>
  </si>
  <si>
    <t xml:space="preserve">C139</t>
  </si>
  <si>
    <t xml:space="preserve">Cafetería Empresarial La Popa</t>
  </si>
  <si>
    <t xml:space="preserve">FAC036</t>
  </si>
  <si>
    <t xml:space="preserve">C106</t>
  </si>
  <si>
    <t xml:space="preserve">Colegio Country Club</t>
  </si>
  <si>
    <t xml:space="preserve">P018</t>
  </si>
  <si>
    <t xml:space="preserve">Jugo de Mango 1L</t>
  </si>
  <si>
    <t xml:space="preserve">FAC037</t>
  </si>
  <si>
    <t xml:space="preserve">P117</t>
  </si>
  <si>
    <t xml:space="preserve">Ponqué Industrial Paquete 220g (34)</t>
  </si>
  <si>
    <t xml:space="preserve">FAC038</t>
  </si>
  <si>
    <t xml:space="preserve">C009</t>
  </si>
  <si>
    <t xml:space="preserve">Restaurante La Bahía</t>
  </si>
  <si>
    <t xml:space="preserve">FAC039</t>
  </si>
  <si>
    <t xml:space="preserve">C104</t>
  </si>
  <si>
    <t xml:space="preserve">Super La Riviera</t>
  </si>
  <si>
    <t xml:space="preserve">P119</t>
  </si>
  <si>
    <t xml:space="preserve">Avena Lista para Tomar 1L (6)</t>
  </si>
  <si>
    <t xml:space="preserve">FAC040</t>
  </si>
  <si>
    <t xml:space="preserve">P002</t>
  </si>
  <si>
    <t xml:space="preserve">Crema Dental Tubo 90g</t>
  </si>
  <si>
    <t xml:space="preserve">FAC041</t>
  </si>
  <si>
    <t xml:space="preserve">C023</t>
  </si>
  <si>
    <t xml:space="preserve">Comedor Institucional San José</t>
  </si>
  <si>
    <t xml:space="preserve">P109</t>
  </si>
  <si>
    <t xml:space="preserve">Agua Saborizada Limón 500ml (62)</t>
  </si>
  <si>
    <t xml:space="preserve">FAC042</t>
  </si>
  <si>
    <t xml:space="preserve">C040</t>
  </si>
  <si>
    <t xml:space="preserve">Comedor Institucional Nuestra Señora del Carmen</t>
  </si>
  <si>
    <t xml:space="preserve">P067</t>
  </si>
  <si>
    <t xml:space="preserve">Snack de Papa Bolsa 150g (10)</t>
  </si>
  <si>
    <t xml:space="preserve">FAC043</t>
  </si>
  <si>
    <t xml:space="preserve">P068</t>
  </si>
  <si>
    <t xml:space="preserve">Detergente en Polvo Bolsa 1kg</t>
  </si>
  <si>
    <t xml:space="preserve">Aseo</t>
  </si>
  <si>
    <t xml:space="preserve">FAC044</t>
  </si>
  <si>
    <t xml:space="preserve">C102</t>
  </si>
  <si>
    <t xml:space="preserve">Minimercado El Paisa</t>
  </si>
  <si>
    <t xml:space="preserve">P080</t>
  </si>
  <si>
    <t xml:space="preserve">Limpiador Líquido Multiusos Botella 1L (94)</t>
  </si>
  <si>
    <t xml:space="preserve">FAC045</t>
  </si>
  <si>
    <t xml:space="preserve">FAC046</t>
  </si>
  <si>
    <t xml:space="preserve">C016</t>
  </si>
  <si>
    <t xml:space="preserve">Supermercado Ahorro Costeño</t>
  </si>
  <si>
    <t xml:space="preserve">P038</t>
  </si>
  <si>
    <t xml:space="preserve">Aceite Vegetal Botella 3L</t>
  </si>
  <si>
    <t xml:space="preserve">FAC047</t>
  </si>
  <si>
    <t xml:space="preserve">C088</t>
  </si>
  <si>
    <t xml:space="preserve">Club Social Nuestra Señora del Carmen</t>
  </si>
  <si>
    <t xml:space="preserve">P041</t>
  </si>
  <si>
    <t xml:space="preserve">Jabón de Tocador Barra 90g</t>
  </si>
  <si>
    <t xml:space="preserve">FAC048</t>
  </si>
  <si>
    <t xml:space="preserve">P098</t>
  </si>
  <si>
    <t xml:space="preserve">Arroz Blanco Bolsa 500g (29)</t>
  </si>
  <si>
    <t xml:space="preserve">FAC049</t>
  </si>
  <si>
    <t xml:space="preserve">P085</t>
  </si>
  <si>
    <t xml:space="preserve">Esponja Multiusos Paquete x3 (45)</t>
  </si>
  <si>
    <t xml:space="preserve">FAC050</t>
  </si>
  <si>
    <t xml:space="preserve">C140</t>
  </si>
  <si>
    <t xml:space="preserve">Super ElGanadero</t>
  </si>
  <si>
    <t xml:space="preserve">P061</t>
  </si>
  <si>
    <t xml:space="preserve">Yogurt Bebible Fresa 200ml (15)</t>
  </si>
  <si>
    <t xml:space="preserve">FAC051</t>
  </si>
  <si>
    <t xml:space="preserve">FAC052</t>
  </si>
  <si>
    <t xml:space="preserve">C068</t>
  </si>
  <si>
    <t xml:space="preserve">Deposito Santa Rita</t>
  </si>
  <si>
    <t xml:space="preserve">P087</t>
  </si>
  <si>
    <t xml:space="preserve">Crema Dental Tubo 90g (86)</t>
  </si>
  <si>
    <t xml:space="preserve">FAC053</t>
  </si>
  <si>
    <t xml:space="preserve">C103</t>
  </si>
  <si>
    <t xml:space="preserve">Autoservicio La Costeña</t>
  </si>
  <si>
    <t xml:space="preserve">P022</t>
  </si>
  <si>
    <t xml:space="preserve">Mayonesa Frasco 400g</t>
  </si>
  <si>
    <t xml:space="preserve">FAC054</t>
  </si>
  <si>
    <t xml:space="preserve">C034</t>
  </si>
  <si>
    <t xml:space="preserve">Restaurante La Popa</t>
  </si>
  <si>
    <t xml:space="preserve">FAC055</t>
  </si>
  <si>
    <t xml:space="preserve">C057</t>
  </si>
  <si>
    <t xml:space="preserve">Supermercado Todo Fresco</t>
  </si>
  <si>
    <t xml:space="preserve">P084</t>
  </si>
  <si>
    <t xml:space="preserve">Café Instantáneo Frasco 170g (70)</t>
  </si>
  <si>
    <t xml:space="preserve">FAC056</t>
  </si>
  <si>
    <t xml:space="preserve">C033</t>
  </si>
  <si>
    <t xml:space="preserve">Super Mercar</t>
  </si>
  <si>
    <t xml:space="preserve">FAC057</t>
  </si>
  <si>
    <t xml:space="preserve">C078</t>
  </si>
  <si>
    <t xml:space="preserve">Autoservicios La Riviera</t>
  </si>
  <si>
    <t xml:space="preserve">P075</t>
  </si>
  <si>
    <t xml:space="preserve">Jugo de Mora 1L (79)</t>
  </si>
  <si>
    <t xml:space="preserve">FAC058</t>
  </si>
  <si>
    <t xml:space="preserve">C021</t>
  </si>
  <si>
    <t xml:space="preserve">Fundación Nuestra Señora del Carmen</t>
  </si>
  <si>
    <t xml:space="preserve">FAC059</t>
  </si>
  <si>
    <t xml:space="preserve">P093</t>
  </si>
  <si>
    <t xml:space="preserve">Panela Bloque 1kg (37)</t>
  </si>
  <si>
    <t xml:space="preserve">FAC060</t>
  </si>
  <si>
    <t xml:space="preserve">FAC061</t>
  </si>
  <si>
    <t xml:space="preserve">P083</t>
  </si>
  <si>
    <t xml:space="preserve">Aceite Vegetal Botella 1L (36)</t>
  </si>
  <si>
    <t xml:space="preserve">FAC062</t>
  </si>
  <si>
    <t xml:space="preserve">C053</t>
  </si>
  <si>
    <t xml:space="preserve">Autoservicio El Trebol</t>
  </si>
  <si>
    <t xml:space="preserve">P094</t>
  </si>
  <si>
    <t xml:space="preserve">Chocolate en Polvo para Bebida Bolsa 400g (22)</t>
  </si>
  <si>
    <t xml:space="preserve">FAC063</t>
  </si>
  <si>
    <t xml:space="preserve">C071</t>
  </si>
  <si>
    <t xml:space="preserve">Restaurante Las Américas</t>
  </si>
  <si>
    <t xml:space="preserve">P045</t>
  </si>
  <si>
    <t xml:space="preserve">Jugo de Mora 1L</t>
  </si>
  <si>
    <t xml:space="preserve">FAC064</t>
  </si>
  <si>
    <t xml:space="preserve">C045</t>
  </si>
  <si>
    <t xml:space="preserve">Deposito San Judas</t>
  </si>
  <si>
    <t xml:space="preserve">FAC065</t>
  </si>
  <si>
    <t xml:space="preserve">FAC066</t>
  </si>
  <si>
    <t xml:space="preserve">P004</t>
  </si>
  <si>
    <t xml:space="preserve">Arroz Blanco Bolsa 1kg</t>
  </si>
  <si>
    <t xml:space="preserve">FAC067</t>
  </si>
  <si>
    <t xml:space="preserve">C092</t>
  </si>
  <si>
    <t xml:space="preserve">Hipermercado La Riviera</t>
  </si>
  <si>
    <t xml:space="preserve">P043</t>
  </si>
  <si>
    <t xml:space="preserve">Café Molido Bolsa 500g</t>
  </si>
  <si>
    <t xml:space="preserve">FAC068</t>
  </si>
  <si>
    <t xml:space="preserve">C077</t>
  </si>
  <si>
    <t xml:space="preserve">P006</t>
  </si>
  <si>
    <t xml:space="preserve">Panela Bloque 1kg</t>
  </si>
  <si>
    <t xml:space="preserve">FAC069</t>
  </si>
  <si>
    <t xml:space="preserve">C042</t>
  </si>
  <si>
    <t xml:space="preserve">Supermercado La Riviera</t>
  </si>
  <si>
    <t xml:space="preserve">P021</t>
  </si>
  <si>
    <t xml:space="preserve">Mortadela Paquete 250g</t>
  </si>
  <si>
    <t xml:space="preserve">FAC070</t>
  </si>
  <si>
    <t xml:space="preserve">C146</t>
  </si>
  <si>
    <t xml:space="preserve">Panadería Del Caribe</t>
  </si>
  <si>
    <t xml:space="preserve">P120</t>
  </si>
  <si>
    <t xml:space="preserve">Jugo de Naranja Natural 1L (54)</t>
  </si>
  <si>
    <t xml:space="preserve">FAC071</t>
  </si>
  <si>
    <t xml:space="preserve">C136</t>
  </si>
  <si>
    <t xml:space="preserve">P066</t>
  </si>
  <si>
    <t xml:space="preserve">Refresco de Manzana 1.5L (69)</t>
  </si>
  <si>
    <t xml:space="preserve">FAC072</t>
  </si>
  <si>
    <t xml:space="preserve">P100</t>
  </si>
  <si>
    <t xml:space="preserve">Suavizante de Telas Botella 900ml (14)</t>
  </si>
  <si>
    <t xml:space="preserve">FAC073</t>
  </si>
  <si>
    <t xml:space="preserve">C128</t>
  </si>
  <si>
    <t xml:space="preserve">FAC074</t>
  </si>
  <si>
    <t xml:space="preserve">C058</t>
  </si>
  <si>
    <t xml:space="preserve">P108</t>
  </si>
  <si>
    <t xml:space="preserve">Ponqué Industrial Paquete 220g (27)</t>
  </si>
  <si>
    <t xml:space="preserve">FAC075</t>
  </si>
  <si>
    <t xml:space="preserve">P107</t>
  </si>
  <si>
    <t xml:space="preserve">Refresco de Manzana 1.5L (62)</t>
  </si>
  <si>
    <t xml:space="preserve">FAC076</t>
  </si>
  <si>
    <t xml:space="preserve">C086</t>
  </si>
  <si>
    <t xml:space="preserve">Clínica La Sagrada Familia</t>
  </si>
  <si>
    <t xml:space="preserve">P114</t>
  </si>
  <si>
    <t xml:space="preserve">Lavaloza Líquido Botella 500ml (54)</t>
  </si>
  <si>
    <t xml:space="preserve">FAC077</t>
  </si>
  <si>
    <t xml:space="preserve">C114</t>
  </si>
  <si>
    <t xml:space="preserve">Autoservicios La Cosecha</t>
  </si>
  <si>
    <t xml:space="preserve">P005</t>
  </si>
  <si>
    <t xml:space="preserve">Gaseosa Sabor Cola 2.5L</t>
  </si>
  <si>
    <t xml:space="preserve">FAC078</t>
  </si>
  <si>
    <t xml:space="preserve">FAC079</t>
  </si>
  <si>
    <t xml:space="preserve">FAC080</t>
  </si>
  <si>
    <t xml:space="preserve">FAC081</t>
  </si>
  <si>
    <t xml:space="preserve">C123</t>
  </si>
  <si>
    <t xml:space="preserve">FAC082</t>
  </si>
  <si>
    <t xml:space="preserve">FAC083</t>
  </si>
  <si>
    <t xml:space="preserve">C099</t>
  </si>
  <si>
    <t xml:space="preserve">FAC084</t>
  </si>
  <si>
    <t xml:space="preserve">FAC085</t>
  </si>
  <si>
    <t xml:space="preserve">FAC086</t>
  </si>
  <si>
    <t xml:space="preserve">C011</t>
  </si>
  <si>
    <t xml:space="preserve">Autoservicios El Litoral</t>
  </si>
  <si>
    <t xml:space="preserve">FAC087</t>
  </si>
  <si>
    <t xml:space="preserve">C024</t>
  </si>
  <si>
    <t xml:space="preserve">Tienda El Paisa</t>
  </si>
  <si>
    <t xml:space="preserve">FAC088</t>
  </si>
  <si>
    <t xml:space="preserve">P071</t>
  </si>
  <si>
    <t xml:space="preserve">Jugo de Naranja Natural 1L (76)</t>
  </si>
  <si>
    <t xml:space="preserve">FAC089</t>
  </si>
  <si>
    <t xml:space="preserve">P027</t>
  </si>
  <si>
    <t xml:space="preserve">Galletas Saladas Paquete 300g</t>
  </si>
  <si>
    <t xml:space="preserve">FAC090</t>
  </si>
  <si>
    <t xml:space="preserve">C127</t>
  </si>
  <si>
    <t xml:space="preserve">P003</t>
  </si>
  <si>
    <t xml:space="preserve">Yogurt Bebible Fresa 200ml</t>
  </si>
  <si>
    <t xml:space="preserve">FAC091</t>
  </si>
  <si>
    <t xml:space="preserve">C047</t>
  </si>
  <si>
    <t xml:space="preserve">Super Ahorro Costeño</t>
  </si>
  <si>
    <t xml:space="preserve">FAC092</t>
  </si>
  <si>
    <t xml:space="preserve">C148</t>
  </si>
  <si>
    <t xml:space="preserve">Hipermercado Mercar</t>
  </si>
  <si>
    <t xml:space="preserve">FAC093</t>
  </si>
  <si>
    <t xml:space="preserve">C056</t>
  </si>
  <si>
    <t xml:space="preserve">Hipermercado Ahorro Costeño</t>
  </si>
  <si>
    <t xml:space="preserve">FAC094</t>
  </si>
  <si>
    <t xml:space="preserve">C149</t>
  </si>
  <si>
    <t xml:space="preserve">Autoservicios Ahorro Costeño</t>
  </si>
  <si>
    <t xml:space="preserve">P059</t>
  </si>
  <si>
    <t xml:space="preserve">Panela Bloque 1kg (40)</t>
  </si>
  <si>
    <t xml:space="preserve">FAC095</t>
  </si>
  <si>
    <t xml:space="preserve">P033</t>
  </si>
  <si>
    <t xml:space="preserve">Cereal de Maíz Caja 300g</t>
  </si>
  <si>
    <t xml:space="preserve">FAC096</t>
  </si>
  <si>
    <t xml:space="preserve">FAC097</t>
  </si>
  <si>
    <t xml:space="preserve">C125</t>
  </si>
  <si>
    <t xml:space="preserve">P001</t>
  </si>
  <si>
    <t xml:space="preserve">Leche Condensada Lata 380g</t>
  </si>
  <si>
    <t xml:space="preserve">FAC098</t>
  </si>
  <si>
    <t xml:space="preserve">C062</t>
  </si>
  <si>
    <t xml:space="preserve">FAC099</t>
  </si>
  <si>
    <t xml:space="preserve">FAC100</t>
  </si>
  <si>
    <t xml:space="preserve">FAC101</t>
  </si>
  <si>
    <t xml:space="preserve">C144</t>
  </si>
  <si>
    <t xml:space="preserve">Hipermercado Central</t>
  </si>
  <si>
    <t xml:space="preserve">P034</t>
  </si>
  <si>
    <t xml:space="preserve">Gaseosa Sabor Cola 400ml</t>
  </si>
  <si>
    <t xml:space="preserve">FAC102</t>
  </si>
  <si>
    <t xml:space="preserve">C119</t>
  </si>
  <si>
    <t xml:space="preserve">Minimercado La Economía</t>
  </si>
  <si>
    <t xml:space="preserve">FAC103</t>
  </si>
  <si>
    <t xml:space="preserve">FAC104</t>
  </si>
  <si>
    <t xml:space="preserve">C019</t>
  </si>
  <si>
    <t xml:space="preserve">Deposito La Bendición</t>
  </si>
  <si>
    <t xml:space="preserve">FAC105</t>
  </si>
  <si>
    <t xml:space="preserve">C046</t>
  </si>
  <si>
    <t xml:space="preserve">Supermercado ElGanadero</t>
  </si>
  <si>
    <t xml:space="preserve">FAC106</t>
  </si>
  <si>
    <t xml:space="preserve">P074</t>
  </si>
  <si>
    <t xml:space="preserve">Galletas de Chocolate Paquete 200g (74)</t>
  </si>
  <si>
    <t xml:space="preserve">FAC107</t>
  </si>
  <si>
    <t xml:space="preserve">FAC108</t>
  </si>
  <si>
    <t xml:space="preserve">FAC109</t>
  </si>
  <si>
    <t xml:space="preserve">FAC110</t>
  </si>
  <si>
    <t xml:space="preserve">C067</t>
  </si>
  <si>
    <t xml:space="preserve">Deposito La Esquina</t>
  </si>
  <si>
    <t xml:space="preserve">FAC111</t>
  </si>
  <si>
    <t xml:space="preserve">C018</t>
  </si>
  <si>
    <t xml:space="preserve">FAC112</t>
  </si>
  <si>
    <t xml:space="preserve">FAC113</t>
  </si>
  <si>
    <t xml:space="preserve">C028</t>
  </si>
  <si>
    <t xml:space="preserve">Super La 15</t>
  </si>
  <si>
    <t xml:space="preserve">FAC114</t>
  </si>
  <si>
    <t xml:space="preserve">P063</t>
  </si>
  <si>
    <t xml:space="preserve">Galletas Saladas Paquete 300g (3)</t>
  </si>
  <si>
    <t xml:space="preserve">FAC115</t>
  </si>
  <si>
    <t xml:space="preserve">C089</t>
  </si>
  <si>
    <t xml:space="preserve">FAC116</t>
  </si>
  <si>
    <t xml:space="preserve">FAC117</t>
  </si>
  <si>
    <t xml:space="preserve">C098</t>
  </si>
  <si>
    <t xml:space="preserve">Hipermercado ElGanadero</t>
  </si>
  <si>
    <t xml:space="preserve">FAC118</t>
  </si>
  <si>
    <t xml:space="preserve">FAC119</t>
  </si>
  <si>
    <t xml:space="preserve">C093</t>
  </si>
  <si>
    <t xml:space="preserve">Autoservicios El Baratillo</t>
  </si>
  <si>
    <t xml:space="preserve">FAC120</t>
  </si>
  <si>
    <t xml:space="preserve">C105</t>
  </si>
  <si>
    <t xml:space="preserve">Club Social San José</t>
  </si>
  <si>
    <t xml:space="preserve">FAC121</t>
  </si>
  <si>
    <t xml:space="preserve">C031</t>
  </si>
  <si>
    <t xml:space="preserve">Super Todo Fresco</t>
  </si>
  <si>
    <t xml:space="preserve">FAC122</t>
  </si>
  <si>
    <t xml:space="preserve">FAC123</t>
  </si>
  <si>
    <t xml:space="preserve">P035</t>
  </si>
  <si>
    <t xml:space="preserve">Papel Higiénico Paquete x4</t>
  </si>
  <si>
    <t xml:space="preserve">FAC124</t>
  </si>
  <si>
    <t xml:space="preserve">P050</t>
  </si>
  <si>
    <t xml:space="preserve">Enjuague Bucal Botella 500ml</t>
  </si>
  <si>
    <t xml:space="preserve">FAC125</t>
  </si>
  <si>
    <t xml:space="preserve">P026</t>
  </si>
  <si>
    <t xml:space="preserve">Agua Saborizada Limón 500ml</t>
  </si>
  <si>
    <t xml:space="preserve">FAC126</t>
  </si>
  <si>
    <t xml:space="preserve">P040</t>
  </si>
  <si>
    <t xml:space="preserve">Harina de Trigo Bolsa 1kg</t>
  </si>
  <si>
    <t xml:space="preserve">FAC127</t>
  </si>
  <si>
    <t xml:space="preserve">C013</t>
  </si>
  <si>
    <t xml:space="preserve">Autoservicio El Progreso</t>
  </si>
  <si>
    <t xml:space="preserve">FAC128</t>
  </si>
  <si>
    <t xml:space="preserve">FAC129</t>
  </si>
  <si>
    <t xml:space="preserve">FAC130</t>
  </si>
  <si>
    <t xml:space="preserve">C113</t>
  </si>
  <si>
    <t xml:space="preserve">Autoservicios Mercar</t>
  </si>
  <si>
    <t xml:space="preserve">FAC131</t>
  </si>
  <si>
    <t xml:space="preserve">C126</t>
  </si>
  <si>
    <t xml:space="preserve">Hipermercado La Economía</t>
  </si>
  <si>
    <t xml:space="preserve">FAC132</t>
  </si>
  <si>
    <t xml:space="preserve">FAC133</t>
  </si>
  <si>
    <t xml:space="preserve">FAC134</t>
  </si>
  <si>
    <t xml:space="preserve">C133</t>
  </si>
  <si>
    <t xml:space="preserve">Hipermercado El Litoral</t>
  </si>
  <si>
    <t xml:space="preserve">P008</t>
  </si>
  <si>
    <t xml:space="preserve">Snack de Papa Bolsa 150g</t>
  </si>
  <si>
    <t xml:space="preserve">FAC135</t>
  </si>
  <si>
    <t xml:space="preserve">FAC136</t>
  </si>
  <si>
    <t xml:space="preserve">C118</t>
  </si>
  <si>
    <t xml:space="preserve">Autoservicio La Esquina</t>
  </si>
  <si>
    <t xml:space="preserve">FAC137</t>
  </si>
  <si>
    <t xml:space="preserve">FAC138</t>
  </si>
  <si>
    <t xml:space="preserve">C094</t>
  </si>
  <si>
    <t xml:space="preserve">FAC139</t>
  </si>
  <si>
    <t xml:space="preserve">P024</t>
  </si>
  <si>
    <t xml:space="preserve">Limpiador Líquido Multiusos Botella 1L</t>
  </si>
  <si>
    <t xml:space="preserve">FAC140</t>
  </si>
  <si>
    <t xml:space="preserve">C110</t>
  </si>
  <si>
    <t xml:space="preserve">Restaurante San José</t>
  </si>
  <si>
    <t xml:space="preserve">P070</t>
  </si>
  <si>
    <t xml:space="preserve">Bebida Energizante 250ml (20)</t>
  </si>
  <si>
    <t xml:space="preserve">FAC141</t>
  </si>
  <si>
    <t xml:space="preserve">FAC142</t>
  </si>
  <si>
    <t xml:space="preserve">FAC143</t>
  </si>
  <si>
    <t xml:space="preserve">FAC144</t>
  </si>
  <si>
    <t xml:space="preserve">P105</t>
  </si>
  <si>
    <t xml:space="preserve">Agua Sin Gas 1L (53)</t>
  </si>
  <si>
    <t xml:space="preserve">FAC145</t>
  </si>
  <si>
    <t xml:space="preserve">P051</t>
  </si>
  <si>
    <t xml:space="preserve">Esponja Multiusos Paquete x3</t>
  </si>
  <si>
    <t xml:space="preserve">FAC146</t>
  </si>
  <si>
    <t xml:space="preserve">P062</t>
  </si>
  <si>
    <t xml:space="preserve">Agua Saborizada Limón 500ml (83)</t>
  </si>
  <si>
    <t xml:space="preserve">FAC147</t>
  </si>
  <si>
    <t xml:space="preserve">P037</t>
  </si>
  <si>
    <t xml:space="preserve">Jugo de Naranja Natural 200ml</t>
  </si>
  <si>
    <t xml:space="preserve">FAC148</t>
  </si>
  <si>
    <t xml:space="preserve">FAC149</t>
  </si>
  <si>
    <t xml:space="preserve">FAC150</t>
  </si>
  <si>
    <t xml:space="preserve">C026</t>
  </si>
  <si>
    <t xml:space="preserve">Minimercado Doña María</t>
  </si>
  <si>
    <t xml:space="preserve">FAC151</t>
  </si>
  <si>
    <t xml:space="preserve">FAC152</t>
  </si>
  <si>
    <t xml:space="preserve">C063</t>
  </si>
  <si>
    <t xml:space="preserve">Super El Cacique</t>
  </si>
  <si>
    <t xml:space="preserve">FAC153</t>
  </si>
  <si>
    <t xml:space="preserve">FAC154</t>
  </si>
  <si>
    <t xml:space="preserve">FAC155</t>
  </si>
  <si>
    <t xml:space="preserve">FAC156</t>
  </si>
  <si>
    <t xml:space="preserve">C065</t>
  </si>
  <si>
    <t xml:space="preserve">Deposito La Economía</t>
  </si>
  <si>
    <t xml:space="preserve">FAC157</t>
  </si>
  <si>
    <t xml:space="preserve">FAC158</t>
  </si>
  <si>
    <t xml:space="preserve">FAC159</t>
  </si>
  <si>
    <t xml:space="preserve">P011</t>
  </si>
  <si>
    <t xml:space="preserve">Agua Sin Gas 600ml</t>
  </si>
  <si>
    <t xml:space="preserve">FAC160</t>
  </si>
  <si>
    <t xml:space="preserve">FAC161</t>
  </si>
  <si>
    <t xml:space="preserve">FAC162</t>
  </si>
  <si>
    <t xml:space="preserve">FAC163</t>
  </si>
  <si>
    <t xml:space="preserve">FAC164</t>
  </si>
  <si>
    <t xml:space="preserve">FAC165</t>
  </si>
  <si>
    <t xml:space="preserve">FAC166</t>
  </si>
  <si>
    <t xml:space="preserve">C001</t>
  </si>
  <si>
    <t xml:space="preserve">FAC167</t>
  </si>
  <si>
    <t xml:space="preserve">FAC168</t>
  </si>
  <si>
    <t xml:space="preserve">FAC169</t>
  </si>
  <si>
    <t xml:space="preserve">P095</t>
  </si>
  <si>
    <t xml:space="preserve">Refresco de Manzana 1.5L (36)</t>
  </si>
  <si>
    <t xml:space="preserve">FAC170</t>
  </si>
  <si>
    <t xml:space="preserve">C055</t>
  </si>
  <si>
    <t xml:space="preserve">Autoservicio San Judas</t>
  </si>
  <si>
    <t xml:space="preserve">FAC171</t>
  </si>
  <si>
    <t xml:space="preserve">P046</t>
  </si>
  <si>
    <t xml:space="preserve">Agua Sin Gas 3L</t>
  </si>
  <si>
    <t xml:space="preserve">FAC172</t>
  </si>
  <si>
    <t xml:space="preserve">C085</t>
  </si>
  <si>
    <t xml:space="preserve">Tienda El Faro</t>
  </si>
  <si>
    <t xml:space="preserve">FAC173</t>
  </si>
  <si>
    <t xml:space="preserve">C007</t>
  </si>
  <si>
    <t xml:space="preserve">Autoservicio Santa Rita</t>
  </si>
  <si>
    <t xml:space="preserve">FAC174</t>
  </si>
  <si>
    <t xml:space="preserve">FAC175</t>
  </si>
  <si>
    <t xml:space="preserve">FAC176</t>
  </si>
  <si>
    <t xml:space="preserve">FAC177</t>
  </si>
  <si>
    <t xml:space="preserve">FAC178</t>
  </si>
  <si>
    <t xml:space="preserve">FAC179</t>
  </si>
  <si>
    <t xml:space="preserve">P058</t>
  </si>
  <si>
    <t xml:space="preserve">Bolsas de Basura Paquete x20</t>
  </si>
  <si>
    <t xml:space="preserve">FAC180</t>
  </si>
  <si>
    <t xml:space="preserve">P048</t>
  </si>
  <si>
    <t xml:space="preserve">Arroz Blanco Bolsa 500g</t>
  </si>
  <si>
    <t xml:space="preserve">FAC181</t>
  </si>
  <si>
    <t xml:space="preserve">FAC182</t>
  </si>
  <si>
    <t xml:space="preserve">FAC183</t>
  </si>
  <si>
    <t xml:space="preserve">FAC184</t>
  </si>
  <si>
    <t xml:space="preserve">FAC185</t>
  </si>
  <si>
    <t xml:space="preserve">C101</t>
  </si>
  <si>
    <t xml:space="preserve">Tienda El Trebol</t>
  </si>
  <si>
    <t xml:space="preserve">FAC186</t>
  </si>
  <si>
    <t xml:space="preserve">P091</t>
  </si>
  <si>
    <t xml:space="preserve">Crema Corporal Hidratante Frasco 400ml (16)</t>
  </si>
  <si>
    <t xml:space="preserve">FAC187</t>
  </si>
  <si>
    <t xml:space="preserve">FAC188</t>
  </si>
  <si>
    <t xml:space="preserve">FAC189</t>
  </si>
  <si>
    <t xml:space="preserve">C079</t>
  </si>
  <si>
    <t xml:space="preserve">Hospital El Bosque</t>
  </si>
  <si>
    <t xml:space="preserve">FAC190</t>
  </si>
  <si>
    <t xml:space="preserve">FAC191</t>
  </si>
  <si>
    <t xml:space="preserve">FAC192</t>
  </si>
  <si>
    <t xml:space="preserve">FAC193</t>
  </si>
  <si>
    <t xml:space="preserve">FAC194</t>
  </si>
  <si>
    <t xml:space="preserve">FAC195</t>
  </si>
  <si>
    <t xml:space="preserve">P054</t>
  </si>
  <si>
    <t xml:space="preserve">Lavaloza Líquido Botella 500ml</t>
  </si>
  <si>
    <t xml:space="preserve">FAC196</t>
  </si>
  <si>
    <t xml:space="preserve">FAC197</t>
  </si>
  <si>
    <t xml:space="preserve">FAC198</t>
  </si>
  <si>
    <t xml:space="preserve">FAC199</t>
  </si>
  <si>
    <t xml:space="preserve">P060</t>
  </si>
  <si>
    <t xml:space="preserve">Suavizante de Telas Botella 900ml</t>
  </si>
  <si>
    <t xml:space="preserve">FAC200</t>
  </si>
  <si>
    <t xml:space="preserve">FAC201</t>
  </si>
  <si>
    <t xml:space="preserve">P088</t>
  </si>
  <si>
    <t xml:space="preserve">Detergente en Polvo Bolsa 3kg (94)</t>
  </si>
  <si>
    <t xml:space="preserve">FAC202</t>
  </si>
  <si>
    <t xml:space="preserve">P077</t>
  </si>
  <si>
    <t xml:space="preserve">Detergente en Polvo Bolsa 3kg (4)</t>
  </si>
  <si>
    <t xml:space="preserve">FAC203</t>
  </si>
  <si>
    <t xml:space="preserve">FAC204</t>
  </si>
  <si>
    <t xml:space="preserve">C074</t>
  </si>
  <si>
    <t xml:space="preserve">Hipermercado La 15</t>
  </si>
  <si>
    <t xml:space="preserve">FAC205</t>
  </si>
  <si>
    <t xml:space="preserve">P072</t>
  </si>
  <si>
    <t xml:space="preserve">Chocolate en Polvo para Bebida Bolsa 400g (43)</t>
  </si>
  <si>
    <t xml:space="preserve">FAC206</t>
  </si>
  <si>
    <t xml:space="preserve">FAC207</t>
  </si>
  <si>
    <t xml:space="preserve">FAC208</t>
  </si>
  <si>
    <t xml:space="preserve">FAC209</t>
  </si>
  <si>
    <t xml:space="preserve">C066</t>
  </si>
  <si>
    <t xml:space="preserve">Casino La Sagrada Familia</t>
  </si>
  <si>
    <t xml:space="preserve">FAC210</t>
  </si>
  <si>
    <t xml:space="preserve">FAC211</t>
  </si>
  <si>
    <t xml:space="preserve">FAC212</t>
  </si>
  <si>
    <t xml:space="preserve">FAC213</t>
  </si>
  <si>
    <t xml:space="preserve">FAC214</t>
  </si>
  <si>
    <t xml:space="preserve">FAC215</t>
  </si>
  <si>
    <t xml:space="preserve">FAC216</t>
  </si>
  <si>
    <t xml:space="preserve">FAC217</t>
  </si>
  <si>
    <t xml:space="preserve">FAC218</t>
  </si>
  <si>
    <t xml:space="preserve">FAC219</t>
  </si>
  <si>
    <t xml:space="preserve">C112</t>
  </si>
  <si>
    <t xml:space="preserve">FAC220</t>
  </si>
  <si>
    <t xml:space="preserve">FAC221</t>
  </si>
  <si>
    <t xml:space="preserve">FAC222</t>
  </si>
  <si>
    <t xml:space="preserve">FAC223</t>
  </si>
  <si>
    <t xml:space="preserve">FAC224</t>
  </si>
  <si>
    <t xml:space="preserve">FAC225</t>
  </si>
  <si>
    <t xml:space="preserve">FAC226</t>
  </si>
  <si>
    <t xml:space="preserve">FAC227</t>
  </si>
  <si>
    <t xml:space="preserve">C014</t>
  </si>
  <si>
    <t xml:space="preserve">Autoservicio El Faro</t>
  </si>
  <si>
    <t xml:space="preserve">P057</t>
  </si>
  <si>
    <t xml:space="preserve">Shampoo Anticaspa Botella 400ml</t>
  </si>
  <si>
    <t xml:space="preserve">FAC228</t>
  </si>
  <si>
    <t xml:space="preserve">C069</t>
  </si>
  <si>
    <t xml:space="preserve">Deposito La Costeña</t>
  </si>
  <si>
    <t xml:space="preserve">FAC229</t>
  </si>
  <si>
    <t xml:space="preserve">FAC230</t>
  </si>
  <si>
    <t xml:space="preserve">FAC231</t>
  </si>
  <si>
    <t xml:space="preserve">FAC232</t>
  </si>
  <si>
    <t xml:space="preserve">FAC233</t>
  </si>
  <si>
    <t xml:space="preserve">FAC234</t>
  </si>
  <si>
    <t xml:space="preserve">FAC235</t>
  </si>
  <si>
    <t xml:space="preserve">FAC236</t>
  </si>
  <si>
    <t xml:space="preserve">FAC237</t>
  </si>
  <si>
    <t xml:space="preserve">FAC238</t>
  </si>
  <si>
    <t xml:space="preserve">C109</t>
  </si>
  <si>
    <t xml:space="preserve">Autoservicio Doña María</t>
  </si>
  <si>
    <t xml:space="preserve">P025</t>
  </si>
  <si>
    <t xml:space="preserve">Pasta Tipo Espagueti Paquete 500g</t>
  </si>
  <si>
    <t xml:space="preserve">FAC239</t>
  </si>
  <si>
    <t xml:space="preserve">FAC240</t>
  </si>
  <si>
    <t xml:space="preserve">C049</t>
  </si>
  <si>
    <t xml:space="preserve">Minimercado Nueva Vida</t>
  </si>
  <si>
    <t xml:space="preserve">FAC241</t>
  </si>
  <si>
    <t xml:space="preserve">FAC242</t>
  </si>
  <si>
    <t xml:space="preserve">FAC243</t>
  </si>
  <si>
    <t xml:space="preserve">FAC244</t>
  </si>
  <si>
    <t xml:space="preserve">FAC245</t>
  </si>
  <si>
    <t xml:space="preserve">FAC246</t>
  </si>
  <si>
    <t xml:space="preserve">FAC247</t>
  </si>
  <si>
    <t xml:space="preserve">C002</t>
  </si>
  <si>
    <t xml:space="preserve">Tienda La 84</t>
  </si>
  <si>
    <t xml:space="preserve">FAC248</t>
  </si>
  <si>
    <t xml:space="preserve">C132</t>
  </si>
  <si>
    <t xml:space="preserve">Hospital Del Caribe</t>
  </si>
  <si>
    <t xml:space="preserve">FAC249</t>
  </si>
  <si>
    <t xml:space="preserve">FAC250</t>
  </si>
  <si>
    <t xml:space="preserve">FAC251</t>
  </si>
  <si>
    <t xml:space="preserve">P052</t>
  </si>
  <si>
    <t xml:space="preserve">Café Molido Bolsa 500g (28)</t>
  </si>
  <si>
    <t xml:space="preserve">FAC252</t>
  </si>
  <si>
    <t xml:space="preserve">P017</t>
  </si>
  <si>
    <t xml:space="preserve">Bebida Energizante 250ml</t>
  </si>
  <si>
    <t xml:space="preserve">FAC253</t>
  </si>
  <si>
    <t xml:space="preserve">FAC254</t>
  </si>
  <si>
    <t xml:space="preserve">FAC255</t>
  </si>
  <si>
    <t xml:space="preserve">FAC256</t>
  </si>
  <si>
    <t xml:space="preserve">FAC257</t>
  </si>
  <si>
    <t xml:space="preserve">FAC258</t>
  </si>
  <si>
    <t xml:space="preserve">FAC259</t>
  </si>
  <si>
    <t xml:space="preserve">FAC260</t>
  </si>
  <si>
    <t xml:space="preserve">FAC261</t>
  </si>
  <si>
    <t xml:space="preserve">FAC262</t>
  </si>
  <si>
    <t xml:space="preserve">FAC263</t>
  </si>
  <si>
    <t xml:space="preserve">FAC264</t>
  </si>
  <si>
    <t xml:space="preserve">C083</t>
  </si>
  <si>
    <t xml:space="preserve">Deposito San Roque</t>
  </si>
  <si>
    <t xml:space="preserve">FAC265</t>
  </si>
  <si>
    <t xml:space="preserve">C135</t>
  </si>
  <si>
    <t xml:space="preserve">Minimercado Don Pedro</t>
  </si>
  <si>
    <t xml:space="preserve">FAC266</t>
  </si>
  <si>
    <t xml:space="preserve">C052</t>
  </si>
  <si>
    <t xml:space="preserve">Minimercado La 84</t>
  </si>
  <si>
    <t xml:space="preserve">FAC267</t>
  </si>
  <si>
    <t xml:space="preserve">FAC268</t>
  </si>
  <si>
    <t xml:space="preserve">P106</t>
  </si>
  <si>
    <t xml:space="preserve">Bebida Energizante 250ml (76)</t>
  </si>
  <si>
    <t xml:space="preserve">FAC269</t>
  </si>
  <si>
    <t xml:space="preserve">FAC270</t>
  </si>
  <si>
    <t xml:space="preserve">FAC271</t>
  </si>
  <si>
    <t xml:space="preserve">FAC272</t>
  </si>
  <si>
    <t xml:space="preserve">FAC273</t>
  </si>
  <si>
    <t xml:space="preserve">C073</t>
  </si>
  <si>
    <t xml:space="preserve">Hipermercado La Cosecha</t>
  </si>
  <si>
    <t xml:space="preserve">FAC274</t>
  </si>
  <si>
    <t xml:space="preserve">FAC275</t>
  </si>
  <si>
    <t xml:space="preserve">FAC276</t>
  </si>
  <si>
    <t xml:space="preserve">FAC277</t>
  </si>
  <si>
    <t xml:space="preserve">FAC278</t>
  </si>
  <si>
    <t xml:space="preserve">FAC279</t>
  </si>
  <si>
    <t xml:space="preserve">FAC280</t>
  </si>
  <si>
    <t xml:space="preserve">FAC281</t>
  </si>
  <si>
    <t xml:space="preserve">FAC282</t>
  </si>
  <si>
    <t xml:space="preserve">FAC283</t>
  </si>
  <si>
    <t xml:space="preserve">FAC284</t>
  </si>
  <si>
    <t xml:space="preserve">FAC285</t>
  </si>
  <si>
    <t xml:space="preserve">FAC286</t>
  </si>
  <si>
    <t xml:space="preserve">P099</t>
  </si>
  <si>
    <t xml:space="preserve">Ponqué Industrial Paquete 220g (72)</t>
  </si>
  <si>
    <t xml:space="preserve">FAC287</t>
  </si>
  <si>
    <t xml:space="preserve">FAC288</t>
  </si>
  <si>
    <t xml:space="preserve">FAC289</t>
  </si>
  <si>
    <t xml:space="preserve">FAC290</t>
  </si>
  <si>
    <t xml:space="preserve">FAC291</t>
  </si>
  <si>
    <t xml:space="preserve">FAC292</t>
  </si>
  <si>
    <t xml:space="preserve">FAC293</t>
  </si>
  <si>
    <t xml:space="preserve">FAC294</t>
  </si>
  <si>
    <t xml:space="preserve">FAC295</t>
  </si>
  <si>
    <t xml:space="preserve">FAC296</t>
  </si>
  <si>
    <t xml:space="preserve">P044</t>
  </si>
  <si>
    <t xml:space="preserve">Salsa de Tomate Botella 400g</t>
  </si>
  <si>
    <t xml:space="preserve">FAC297</t>
  </si>
  <si>
    <t xml:space="preserve">FAC298</t>
  </si>
  <si>
    <t xml:space="preserve">FAC299</t>
  </si>
  <si>
    <t xml:space="preserve">FAC300</t>
  </si>
  <si>
    <t xml:space="preserve">C036</t>
  </si>
  <si>
    <t xml:space="preserve">P113</t>
  </si>
  <si>
    <t xml:space="preserve">Arroz Blanco Bolsa 1kg (11)</t>
  </si>
  <si>
    <t xml:space="preserve">Supuestos: Cantidad, Descuento % y % Costo COGS son valores de entrada (fuente: simulación para demo/analítica, no transacciones reales de Andina Foods S.A.S.). Valor Total = Cantidad × Valor Unitario. Valor Neto = Valor Total × (1 - Descuento %). Costo COGS = Valor Neto × % Costo COGS (rango 60%-75%). Utilidad Bruta = Valor Neto - Costo COGS. Cliente y Producto son consistentes con los archivos Clientes_Andina_Foods.xlsx y Productos_Andina_Foods.xlsx generados previamente.</t>
  </si>
  <si>
    <t xml:space="preserve">Resumen Mensual — Andina Foods S.A.S. (Enero-Agosto 2025)</t>
  </si>
  <si>
    <t xml:space="preserve">N° Facturas</t>
  </si>
  <si>
    <t xml:space="preserve">Ingresos (Valor Neto)</t>
  </si>
  <si>
    <t xml:space="preserve">Costos (COGS)</t>
  </si>
  <si>
    <t xml:space="preserve">Utilidad Bruta</t>
  </si>
  <si>
    <t xml:space="preserve">Margen Bruto %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</si>
  <si>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</si>
  <si>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</si>
  <si>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</si>
  <si>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</si>
  <si>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</si>
  <si>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</si>
  <si>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</si>
  <si>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</si>
  <si>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TOTAL / PROMEDIO</t>
  </si>
  <si>
    <t xml:space="preserve">Ingresos (Valor Neto) por Canal y Mes</t>
  </si>
  <si>
    <t xml:space="preserve">Total</t>
  </si>
  <si>
    <t xml:space="preserve">TOTAL</t>
  </si>
  <si>
    <t xml:space="preserve">Ingresos (Valor Neto) por Categoría de Producto y Mes</t>
  </si>
  <si>
    <t xml:space="preserve">Estado de Facturación (Enero-Agosto 2025)</t>
  </si>
  <si>
    <t xml:space="preserve">Total Pagado (COP)</t>
  </si>
  <si>
    <t xml:space="preserve">Total Pendiente (COP)</t>
  </si>
  <si>
    <t xml:space="preserve">Total Vencido (COP)</t>
  </si>
  <si>
    <t xml:space="preserve">Nota: datos simulados con fines de demostración / analítica del programa Master IA Local. No corresponden a transacciones reales de Andina Foods S.A.S.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</si>
</sst>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"/>
    <numFmt numFmtId="167" formatCode="\$#,##0"/>
    <numFmt numFmtId="168" formatCode="0.0%"/>
    <numFmt numFmtId="169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ransaccionesAndina" displayName="TransaccionesAndina" ref="A1:R301" headerRowCount="1" totalsRowCount="0" totalsRowShown="0">
  <autoFilter ref="A1:R301"/>
  <tableColumns count="18">
    <tableColumn id="1" name="Fecha"/>
    <tableColumn id="2" name="Documento"/>
    <tableColumn id="3" name="ID Cliente"/>
    <tableColumn id="4" name="Cliente"/>
    <tableColumn id="5" name="SKU Producto"/>
    <tableColumn id="6" name="Producto"/>
    <tableColumn id="7" name="Categoría"/>
    <tableColumn id="8" name="Canal"/>
    <tableColumn id="9" name="Cantidad"/>
    <tableColumn id="10" name="Valor Unitario (COP)"/>
    <tableColumn id="11" name="Valor Total (COP)"/>
    <tableColumn id="12" name="Descuento %"/>
    <tableColumn id="13" name="Valor Neto (COP)"/>
    <tableColumn id="14" name="% Costo COGS"/>
    <tableColumn id="15" name="Costo COGS (COP)"/>
    <tableColumn id="16" name="Utilidad Bruta (COP)"/>
    <tableColumn id="17" name="Estado"/>
    <tableColumn id="18" name="M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1" min="10" style="0" width="15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16"/>
    <col collapsed="false" customWidth="true" hidden="false" outlineLevel="0" max="17" min="17" style="0" width="11"/>
    <col collapsed="false" customWidth="true" hidden="false" outlineLevel="0" max="18" min="18" style="0" width="1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45658</v>
      </c>
      <c r="B2" s="3" t="s">
        <v>18</v>
      </c>
      <c r="C2" s="3" t="s">
        <v>19</v>
      </c>
      <c r="D2" s="4" t="s">
        <v>20</v>
      </c>
      <c r="E2" s="3" t="s">
        <v>21</v>
      </c>
      <c r="F2" s="4" t="s">
        <v>22</v>
      </c>
      <c r="G2" s="3" t="s">
        <v>23</v>
      </c>
      <c r="H2" s="3" t="s">
        <v>24</v>
      </c>
      <c r="I2" s="5" t="n">
        <v>808</v>
      </c>
      <c r="J2" s="6" t="n">
        <v>14670</v>
      </c>
      <c r="K2" s="7" t="n">
        <f aca="false">I2*J2</f>
        <v>11853360</v>
      </c>
      <c r="L2" s="8" t="n">
        <v>0.093</v>
      </c>
      <c r="M2" s="7" t="n">
        <f aca="false">K2*(1-L2)</f>
        <v>10750997.52</v>
      </c>
      <c r="N2" s="8" t="n">
        <v>0.747</v>
      </c>
      <c r="O2" s="7" t="n">
        <f aca="false">M2*N2</f>
        <v>8030995.14744</v>
      </c>
      <c r="P2" s="7" t="n">
        <f aca="false">M2-O2</f>
        <v>2720002.37256</v>
      </c>
      <c r="Q2" s="3" t="s">
        <v>25</v>
      </c>
      <c r="R2" s="3" t="str">
        <f aca="false">TEXT(A2,"YYYY-MM")</f>
        <v>2025-01</v>
      </c>
    </row>
    <row r="3" customFormat="false" ht="15" hidden="false" customHeight="false" outlineLevel="0" collapsed="false">
      <c r="A3" s="2" t="n">
        <v>45658</v>
      </c>
      <c r="B3" s="3" t="s">
        <v>26</v>
      </c>
      <c r="C3" s="3" t="s">
        <v>27</v>
      </c>
      <c r="D3" s="4" t="s">
        <v>28</v>
      </c>
      <c r="E3" s="3" t="s">
        <v>29</v>
      </c>
      <c r="F3" s="4" t="s">
        <v>30</v>
      </c>
      <c r="G3" s="3" t="s">
        <v>31</v>
      </c>
      <c r="H3" s="3" t="s">
        <v>24</v>
      </c>
      <c r="I3" s="5" t="n">
        <v>629</v>
      </c>
      <c r="J3" s="6" t="n">
        <v>8000</v>
      </c>
      <c r="K3" s="7" t="n">
        <f aca="false">I3*J3</f>
        <v>5032000</v>
      </c>
      <c r="L3" s="8" t="n">
        <v>0.147</v>
      </c>
      <c r="M3" s="7" t="n">
        <f aca="false">K3*(1-L3)</f>
        <v>4292296</v>
      </c>
      <c r="N3" s="8" t="n">
        <v>0.634</v>
      </c>
      <c r="O3" s="7" t="n">
        <f aca="false">M3*N3</f>
        <v>2721315.664</v>
      </c>
      <c r="P3" s="7" t="n">
        <f aca="false">M3-O3</f>
        <v>1570980.336</v>
      </c>
      <c r="Q3" s="3" t="s">
        <v>25</v>
      </c>
      <c r="R3" s="3" t="str">
        <f aca="false">TEXT(A3,"YYYY-MM")</f>
        <v>2025-01</v>
      </c>
    </row>
    <row r="4" customFormat="false" ht="15" hidden="false" customHeight="false" outlineLevel="0" collapsed="false">
      <c r="A4" s="2" t="n">
        <v>45659</v>
      </c>
      <c r="B4" s="3" t="s">
        <v>32</v>
      </c>
      <c r="C4" s="3" t="s">
        <v>33</v>
      </c>
      <c r="D4" s="4" t="s">
        <v>34</v>
      </c>
      <c r="E4" s="3" t="s">
        <v>35</v>
      </c>
      <c r="F4" s="4" t="s">
        <v>36</v>
      </c>
      <c r="G4" s="3" t="s">
        <v>37</v>
      </c>
      <c r="H4" s="3" t="s">
        <v>38</v>
      </c>
      <c r="I4" s="5" t="n">
        <v>237</v>
      </c>
      <c r="J4" s="6" t="n">
        <v>7860</v>
      </c>
      <c r="K4" s="7" t="n">
        <f aca="false">I4*J4</f>
        <v>1862820</v>
      </c>
      <c r="L4" s="8" t="n">
        <v>0</v>
      </c>
      <c r="M4" s="7" t="n">
        <f aca="false">K4*(1-L4)</f>
        <v>1862820</v>
      </c>
      <c r="N4" s="8" t="n">
        <v>0.623</v>
      </c>
      <c r="O4" s="7" t="n">
        <f aca="false">M4*N4</f>
        <v>1160536.86</v>
      </c>
      <c r="P4" s="7" t="n">
        <f aca="false">M4-O4</f>
        <v>702283.14</v>
      </c>
      <c r="Q4" s="3" t="s">
        <v>25</v>
      </c>
      <c r="R4" s="3" t="str">
        <f aca="false">TEXT(A4,"YYYY-MM")</f>
        <v>2025-01</v>
      </c>
    </row>
    <row r="5" customFormat="false" ht="15" hidden="false" customHeight="false" outlineLevel="0" collapsed="false">
      <c r="A5" s="2" t="n">
        <v>45660</v>
      </c>
      <c r="B5" s="3" t="s">
        <v>39</v>
      </c>
      <c r="C5" s="3" t="s">
        <v>40</v>
      </c>
      <c r="D5" s="4" t="s">
        <v>41</v>
      </c>
      <c r="E5" s="3" t="s">
        <v>42</v>
      </c>
      <c r="F5" s="4" t="s">
        <v>43</v>
      </c>
      <c r="G5" s="3" t="s">
        <v>23</v>
      </c>
      <c r="H5" s="3" t="s">
        <v>44</v>
      </c>
      <c r="I5" s="5" t="n">
        <v>236</v>
      </c>
      <c r="J5" s="6" t="n">
        <v>9950</v>
      </c>
      <c r="K5" s="7" t="n">
        <f aca="false">I5*J5</f>
        <v>2348200</v>
      </c>
      <c r="L5" s="8" t="n">
        <v>0</v>
      </c>
      <c r="M5" s="7" t="n">
        <f aca="false">K5*(1-L5)</f>
        <v>2348200</v>
      </c>
      <c r="N5" s="8" t="n">
        <v>0.607</v>
      </c>
      <c r="O5" s="7" t="n">
        <f aca="false">M5*N5</f>
        <v>1425357.4</v>
      </c>
      <c r="P5" s="7" t="n">
        <f aca="false">M5-O5</f>
        <v>922842.6</v>
      </c>
      <c r="Q5" s="3" t="s">
        <v>25</v>
      </c>
      <c r="R5" s="3" t="str">
        <f aca="false">TEXT(A5,"YYYY-MM")</f>
        <v>2025-01</v>
      </c>
    </row>
    <row r="6" customFormat="false" ht="15" hidden="false" customHeight="false" outlineLevel="0" collapsed="false">
      <c r="A6" s="2" t="n">
        <v>45662</v>
      </c>
      <c r="B6" s="3" t="s">
        <v>45</v>
      </c>
      <c r="C6" s="3" t="s">
        <v>46</v>
      </c>
      <c r="D6" s="4" t="s">
        <v>47</v>
      </c>
      <c r="E6" s="3" t="s">
        <v>48</v>
      </c>
      <c r="F6" s="4" t="s">
        <v>49</v>
      </c>
      <c r="G6" s="3" t="s">
        <v>31</v>
      </c>
      <c r="H6" s="3" t="s">
        <v>44</v>
      </c>
      <c r="I6" s="5" t="n">
        <v>272</v>
      </c>
      <c r="J6" s="6" t="n">
        <v>7530</v>
      </c>
      <c r="K6" s="7" t="n">
        <f aca="false">I6*J6</f>
        <v>2048160</v>
      </c>
      <c r="L6" s="8" t="n">
        <v>0.001</v>
      </c>
      <c r="M6" s="7" t="n">
        <f aca="false">K6*(1-L6)</f>
        <v>2046111.84</v>
      </c>
      <c r="N6" s="8" t="n">
        <v>0.661</v>
      </c>
      <c r="O6" s="7" t="n">
        <f aca="false">M6*N6</f>
        <v>1352479.92624</v>
      </c>
      <c r="P6" s="7" t="n">
        <f aca="false">M6-O6</f>
        <v>693631.91376</v>
      </c>
      <c r="Q6" s="3" t="s">
        <v>25</v>
      </c>
      <c r="R6" s="3" t="str">
        <f aca="false">TEXT(A6,"YYYY-MM")</f>
        <v>2025-01</v>
      </c>
    </row>
    <row r="7" customFormat="false" ht="15" hidden="false" customHeight="false" outlineLevel="0" collapsed="false">
      <c r="A7" s="2" t="n">
        <v>45662</v>
      </c>
      <c r="B7" s="3" t="s">
        <v>50</v>
      </c>
      <c r="C7" s="3" t="s">
        <v>51</v>
      </c>
      <c r="D7" s="4" t="s">
        <v>52</v>
      </c>
      <c r="E7" s="3" t="s">
        <v>53</v>
      </c>
      <c r="F7" s="4" t="s">
        <v>54</v>
      </c>
      <c r="G7" s="3" t="s">
        <v>31</v>
      </c>
      <c r="H7" s="3" t="s">
        <v>44</v>
      </c>
      <c r="I7" s="5" t="n">
        <v>655</v>
      </c>
      <c r="J7" s="6" t="n">
        <v>6980</v>
      </c>
      <c r="K7" s="7" t="n">
        <f aca="false">I7*J7</f>
        <v>4571900</v>
      </c>
      <c r="L7" s="8" t="n">
        <v>0.123</v>
      </c>
      <c r="M7" s="7" t="n">
        <f aca="false">K7*(1-L7)</f>
        <v>4009556.3</v>
      </c>
      <c r="N7" s="8" t="n">
        <v>0.618</v>
      </c>
      <c r="O7" s="7" t="n">
        <f aca="false">M7*N7</f>
        <v>2477905.7934</v>
      </c>
      <c r="P7" s="7" t="n">
        <f aca="false">M7-O7</f>
        <v>1531650.5066</v>
      </c>
      <c r="Q7" s="3" t="s">
        <v>25</v>
      </c>
      <c r="R7" s="3" t="str">
        <f aca="false">TEXT(A7,"YYYY-MM")</f>
        <v>2025-01</v>
      </c>
    </row>
    <row r="8" customFormat="false" ht="15" hidden="false" customHeight="false" outlineLevel="0" collapsed="false">
      <c r="A8" s="2" t="n">
        <v>45662</v>
      </c>
      <c r="B8" s="3" t="s">
        <v>55</v>
      </c>
      <c r="C8" s="3" t="s">
        <v>56</v>
      </c>
      <c r="D8" s="4" t="s">
        <v>57</v>
      </c>
      <c r="E8" s="3" t="s">
        <v>58</v>
      </c>
      <c r="F8" s="4" t="s">
        <v>59</v>
      </c>
      <c r="G8" s="3" t="s">
        <v>23</v>
      </c>
      <c r="H8" s="3" t="s">
        <v>38</v>
      </c>
      <c r="I8" s="5" t="n">
        <v>372</v>
      </c>
      <c r="J8" s="6" t="n">
        <v>9910</v>
      </c>
      <c r="K8" s="7" t="n">
        <f aca="false">I8*J8</f>
        <v>3686520</v>
      </c>
      <c r="L8" s="8" t="n">
        <v>0.055</v>
      </c>
      <c r="M8" s="7" t="n">
        <f aca="false">K8*(1-L8)</f>
        <v>3483761.4</v>
      </c>
      <c r="N8" s="8" t="n">
        <v>0.673</v>
      </c>
      <c r="O8" s="7" t="n">
        <f aca="false">M8*N8</f>
        <v>2344571.4222</v>
      </c>
      <c r="P8" s="7" t="n">
        <f aca="false">M8-O8</f>
        <v>1139189.9778</v>
      </c>
      <c r="Q8" s="3" t="s">
        <v>25</v>
      </c>
      <c r="R8" s="3" t="str">
        <f aca="false">TEXT(A8,"YYYY-MM")</f>
        <v>2025-01</v>
      </c>
    </row>
    <row r="9" customFormat="false" ht="15" hidden="false" customHeight="false" outlineLevel="0" collapsed="false">
      <c r="A9" s="2" t="n">
        <v>45662</v>
      </c>
      <c r="B9" s="3" t="s">
        <v>60</v>
      </c>
      <c r="C9" s="3" t="s">
        <v>61</v>
      </c>
      <c r="D9" s="4" t="s">
        <v>62</v>
      </c>
      <c r="E9" s="3" t="s">
        <v>63</v>
      </c>
      <c r="F9" s="4" t="s">
        <v>64</v>
      </c>
      <c r="G9" s="3" t="s">
        <v>37</v>
      </c>
      <c r="H9" s="3" t="s">
        <v>44</v>
      </c>
      <c r="I9" s="5" t="n">
        <v>347</v>
      </c>
      <c r="J9" s="6" t="n">
        <v>4450</v>
      </c>
      <c r="K9" s="7" t="n">
        <f aca="false">I9*J9</f>
        <v>1544150</v>
      </c>
      <c r="L9" s="8" t="n">
        <v>0.07</v>
      </c>
      <c r="M9" s="7" t="n">
        <f aca="false">K9*(1-L9)</f>
        <v>1436059.5</v>
      </c>
      <c r="N9" s="8" t="n">
        <v>0.746</v>
      </c>
      <c r="O9" s="7" t="n">
        <f aca="false">M9*N9</f>
        <v>1071300.387</v>
      </c>
      <c r="P9" s="7" t="n">
        <f aca="false">M9-O9</f>
        <v>364759.113</v>
      </c>
      <c r="Q9" s="3" t="s">
        <v>25</v>
      </c>
      <c r="R9" s="3" t="str">
        <f aca="false">TEXT(A9,"YYYY-MM")</f>
        <v>2025-01</v>
      </c>
    </row>
    <row r="10" customFormat="false" ht="15" hidden="false" customHeight="false" outlineLevel="0" collapsed="false">
      <c r="A10" s="2" t="n">
        <v>45664</v>
      </c>
      <c r="B10" s="3" t="s">
        <v>65</v>
      </c>
      <c r="C10" s="3" t="s">
        <v>66</v>
      </c>
      <c r="D10" s="4" t="s">
        <v>67</v>
      </c>
      <c r="E10" s="3" t="s">
        <v>42</v>
      </c>
      <c r="F10" s="4" t="s">
        <v>43</v>
      </c>
      <c r="G10" s="3" t="s">
        <v>23</v>
      </c>
      <c r="H10" s="3" t="s">
        <v>44</v>
      </c>
      <c r="I10" s="5" t="n">
        <v>159</v>
      </c>
      <c r="J10" s="6" t="n">
        <v>9950</v>
      </c>
      <c r="K10" s="7" t="n">
        <f aca="false">I10*J10</f>
        <v>1582050</v>
      </c>
      <c r="L10" s="8" t="n">
        <v>0</v>
      </c>
      <c r="M10" s="7" t="n">
        <f aca="false">K10*(1-L10)</f>
        <v>1582050</v>
      </c>
      <c r="N10" s="8" t="n">
        <v>0.748</v>
      </c>
      <c r="O10" s="7" t="n">
        <f aca="false">M10*N10</f>
        <v>1183373.4</v>
      </c>
      <c r="P10" s="7" t="n">
        <f aca="false">M10-O10</f>
        <v>398676.6</v>
      </c>
      <c r="Q10" s="3" t="s">
        <v>25</v>
      </c>
      <c r="R10" s="3" t="str">
        <f aca="false">TEXT(A10,"YYYY-MM")</f>
        <v>2025-01</v>
      </c>
    </row>
    <row r="11" customFormat="false" ht="15" hidden="false" customHeight="false" outlineLevel="0" collapsed="false">
      <c r="A11" s="2" t="n">
        <v>45664</v>
      </c>
      <c r="B11" s="3" t="s">
        <v>68</v>
      </c>
      <c r="C11" s="3" t="s">
        <v>69</v>
      </c>
      <c r="D11" s="4" t="s">
        <v>70</v>
      </c>
      <c r="E11" s="3" t="s">
        <v>71</v>
      </c>
      <c r="F11" s="4" t="s">
        <v>72</v>
      </c>
      <c r="G11" s="3" t="s">
        <v>23</v>
      </c>
      <c r="H11" s="3" t="s">
        <v>38</v>
      </c>
      <c r="I11" s="5" t="n">
        <v>764</v>
      </c>
      <c r="J11" s="6" t="n">
        <v>6740</v>
      </c>
      <c r="K11" s="7" t="n">
        <f aca="false">I11*J11</f>
        <v>5149360</v>
      </c>
      <c r="L11" s="8" t="n">
        <v>0.144</v>
      </c>
      <c r="M11" s="7" t="n">
        <f aca="false">K11*(1-L11)</f>
        <v>4407852.16</v>
      </c>
      <c r="N11" s="8" t="n">
        <v>0.703</v>
      </c>
      <c r="O11" s="7" t="n">
        <f aca="false">M11*N11</f>
        <v>3098720.06848</v>
      </c>
      <c r="P11" s="7" t="n">
        <f aca="false">M11-O11</f>
        <v>1309132.09152</v>
      </c>
      <c r="Q11" s="3" t="s">
        <v>25</v>
      </c>
      <c r="R11" s="3" t="str">
        <f aca="false">TEXT(A11,"YYYY-MM")</f>
        <v>2025-01</v>
      </c>
    </row>
    <row r="12" customFormat="false" ht="15" hidden="false" customHeight="false" outlineLevel="0" collapsed="false">
      <c r="A12" s="2" t="n">
        <v>45666</v>
      </c>
      <c r="B12" s="3" t="s">
        <v>73</v>
      </c>
      <c r="C12" s="3" t="s">
        <v>74</v>
      </c>
      <c r="D12" s="4"/>
      <c r="E12" s="3" t="s">
        <v>75</v>
      </c>
      <c r="F12" s="4" t="s">
        <v>76</v>
      </c>
      <c r="G12" s="3" t="s">
        <v>31</v>
      </c>
      <c r="H12" s="3" t="s">
        <v>24</v>
      </c>
      <c r="I12" s="5" t="n">
        <v>170</v>
      </c>
      <c r="J12" s="6" t="n">
        <v>3600</v>
      </c>
      <c r="K12" s="7" t="n">
        <f aca="false">I12*J12</f>
        <v>612000</v>
      </c>
      <c r="L12" s="8" t="n">
        <v>0</v>
      </c>
      <c r="M12" s="7" t="n">
        <f aca="false">K12*(1-L12)</f>
        <v>612000</v>
      </c>
      <c r="N12" s="8" t="n">
        <v>0.641</v>
      </c>
      <c r="O12" s="7" t="n">
        <f aca="false">M12*N12</f>
        <v>392292</v>
      </c>
      <c r="P12" s="7" t="n">
        <f aca="false">M12-O12</f>
        <v>219708</v>
      </c>
      <c r="Q12" s="3" t="s">
        <v>25</v>
      </c>
      <c r="R12" s="3" t="str">
        <f aca="false">TEXT(A12,"YYYY-MM")</f>
        <v>2025-01</v>
      </c>
    </row>
    <row r="13" customFormat="false" ht="15" hidden="false" customHeight="false" outlineLevel="0" collapsed="false">
      <c r="A13" s="2" t="n">
        <v>45666</v>
      </c>
      <c r="B13" s="3" t="s">
        <v>77</v>
      </c>
      <c r="C13" s="3" t="s">
        <v>78</v>
      </c>
      <c r="D13" s="4" t="s">
        <v>79</v>
      </c>
      <c r="E13" s="3" t="s">
        <v>80</v>
      </c>
      <c r="F13" s="4" t="s">
        <v>81</v>
      </c>
      <c r="G13" s="3" t="s">
        <v>23</v>
      </c>
      <c r="H13" s="3" t="s">
        <v>24</v>
      </c>
      <c r="I13" s="5" t="n">
        <v>428</v>
      </c>
      <c r="J13" s="6" t="n">
        <v>2400</v>
      </c>
      <c r="K13" s="7" t="n">
        <f aca="false">I13*J13</f>
        <v>1027200</v>
      </c>
      <c r="L13" s="8" t="n">
        <v>0.073</v>
      </c>
      <c r="M13" s="7" t="n">
        <f aca="false">K13*(1-L13)</f>
        <v>952214.4</v>
      </c>
      <c r="N13" s="8" t="n">
        <v>0.716</v>
      </c>
      <c r="O13" s="7" t="n">
        <f aca="false">M13*N13</f>
        <v>681785.5104</v>
      </c>
      <c r="P13" s="7" t="n">
        <f aca="false">M13-O13</f>
        <v>270428.8896</v>
      </c>
      <c r="Q13" s="3" t="s">
        <v>82</v>
      </c>
      <c r="R13" s="3" t="str">
        <f aca="false">TEXT(A13,"YYYY-MM")</f>
        <v>2025-01</v>
      </c>
    </row>
    <row r="14" customFormat="false" ht="15" hidden="false" customHeight="false" outlineLevel="0" collapsed="false">
      <c r="A14" s="2" t="n">
        <v>45668</v>
      </c>
      <c r="B14" s="3" t="s">
        <v>83</v>
      </c>
      <c r="C14" s="3" t="s">
        <v>84</v>
      </c>
      <c r="D14" s="4" t="s">
        <v>85</v>
      </c>
      <c r="E14" s="3" t="s">
        <v>86</v>
      </c>
      <c r="F14" s="4" t="s">
        <v>87</v>
      </c>
      <c r="G14" s="3" t="s">
        <v>23</v>
      </c>
      <c r="H14" s="3" t="s">
        <v>44</v>
      </c>
      <c r="I14" s="5" t="n">
        <v>663</v>
      </c>
      <c r="J14" s="6" t="n">
        <v>11620</v>
      </c>
      <c r="K14" s="7" t="n">
        <f aca="false">I14*J14</f>
        <v>7704060</v>
      </c>
      <c r="L14" s="8" t="n">
        <v>0.102</v>
      </c>
      <c r="M14" s="7" t="n">
        <f aca="false">K14*(1-L14)</f>
        <v>6918245.88</v>
      </c>
      <c r="N14" s="8" t="n">
        <v>0.659</v>
      </c>
      <c r="O14" s="7" t="n">
        <f aca="false">M14*N14</f>
        <v>4559124.03492</v>
      </c>
      <c r="P14" s="7" t="n">
        <f aca="false">M14-O14</f>
        <v>2359121.84508</v>
      </c>
      <c r="Q14" s="3" t="s">
        <v>25</v>
      </c>
      <c r="R14" s="3" t="str">
        <f aca="false">TEXT(A14,"YYYY-MM")</f>
        <v>2025-01</v>
      </c>
    </row>
    <row r="15" customFormat="false" ht="15" hidden="false" customHeight="false" outlineLevel="0" collapsed="false">
      <c r="A15" s="2" t="n">
        <v>45668</v>
      </c>
      <c r="B15" s="3" t="s">
        <v>88</v>
      </c>
      <c r="C15" s="3" t="s">
        <v>89</v>
      </c>
      <c r="D15" s="4" t="s">
        <v>90</v>
      </c>
      <c r="E15" s="3" t="s">
        <v>29</v>
      </c>
      <c r="F15" s="4" t="s">
        <v>30</v>
      </c>
      <c r="G15" s="3" t="s">
        <v>31</v>
      </c>
      <c r="H15" s="3" t="s">
        <v>38</v>
      </c>
      <c r="I15" s="5" t="n">
        <v>622</v>
      </c>
      <c r="J15" s="6" t="n">
        <v>8000</v>
      </c>
      <c r="K15" s="7" t="n">
        <f aca="false">I15*J15</f>
        <v>4976000</v>
      </c>
      <c r="L15" s="8" t="n">
        <v>0.119</v>
      </c>
      <c r="M15" s="7" t="n">
        <f aca="false">K15*(1-L15)</f>
        <v>4383856</v>
      </c>
      <c r="N15" s="8" t="n">
        <v>0.713</v>
      </c>
      <c r="O15" s="7" t="n">
        <f aca="false">M15*N15</f>
        <v>3125689.328</v>
      </c>
      <c r="P15" s="7" t="n">
        <f aca="false">M15-O15</f>
        <v>1258166.672</v>
      </c>
      <c r="Q15" s="3" t="s">
        <v>25</v>
      </c>
      <c r="R15" s="3" t="str">
        <f aca="false">TEXT(A15,"YYYY-MM")</f>
        <v>2025-01</v>
      </c>
    </row>
    <row r="16" customFormat="false" ht="15" hidden="false" customHeight="false" outlineLevel="0" collapsed="false">
      <c r="A16" s="2" t="n">
        <v>45669</v>
      </c>
      <c r="B16" s="3" t="s">
        <v>91</v>
      </c>
      <c r="C16" s="3" t="s">
        <v>92</v>
      </c>
      <c r="D16" s="4" t="s">
        <v>93</v>
      </c>
      <c r="E16" s="3" t="s">
        <v>94</v>
      </c>
      <c r="F16" s="4" t="s">
        <v>95</v>
      </c>
      <c r="G16" s="3" t="s">
        <v>31</v>
      </c>
      <c r="H16" s="3" t="s">
        <v>24</v>
      </c>
      <c r="I16" s="5" t="n">
        <v>747</v>
      </c>
      <c r="J16" s="6" t="n">
        <v>2860</v>
      </c>
      <c r="K16" s="7" t="n">
        <f aca="false">I16*J16</f>
        <v>2136420</v>
      </c>
      <c r="L16" s="8" t="n">
        <v>0.121</v>
      </c>
      <c r="M16" s="7" t="n">
        <f aca="false">K16*(1-L16)</f>
        <v>1877913.18</v>
      </c>
      <c r="N16" s="8" t="n">
        <v>0.705</v>
      </c>
      <c r="O16" s="7" t="n">
        <f aca="false">M16*N16</f>
        <v>1323928.7919</v>
      </c>
      <c r="P16" s="7" t="n">
        <f aca="false">M16-O16</f>
        <v>553984.3881</v>
      </c>
      <c r="Q16" s="3" t="s">
        <v>25</v>
      </c>
      <c r="R16" s="3" t="str">
        <f aca="false">TEXT(A16,"YYYY-MM")</f>
        <v>2025-01</v>
      </c>
    </row>
    <row r="17" customFormat="false" ht="15" hidden="false" customHeight="false" outlineLevel="0" collapsed="false">
      <c r="A17" s="2" t="n">
        <v>45669</v>
      </c>
      <c r="B17" s="3" t="s">
        <v>96</v>
      </c>
      <c r="C17" s="3" t="s">
        <v>97</v>
      </c>
      <c r="D17" s="4" t="s">
        <v>98</v>
      </c>
      <c r="E17" s="3" t="s">
        <v>48</v>
      </c>
      <c r="F17" s="4" t="s">
        <v>49</v>
      </c>
      <c r="G17" s="3" t="s">
        <v>31</v>
      </c>
      <c r="H17" s="3" t="s">
        <v>44</v>
      </c>
      <c r="I17" s="5" t="n">
        <v>395</v>
      </c>
      <c r="J17" s="6" t="n">
        <v>7530</v>
      </c>
      <c r="K17" s="7" t="n">
        <f aca="false">I17*J17</f>
        <v>2974350</v>
      </c>
      <c r="L17" s="8" t="n">
        <v>0.095</v>
      </c>
      <c r="M17" s="7" t="n">
        <f aca="false">K17*(1-L17)</f>
        <v>2691786.75</v>
      </c>
      <c r="N17" s="8" t="n">
        <v>0.723</v>
      </c>
      <c r="O17" s="7" t="n">
        <f aca="false">M17*N17</f>
        <v>1946161.82025</v>
      </c>
      <c r="P17" s="7" t="n">
        <f aca="false">M17-O17</f>
        <v>745624.92975</v>
      </c>
      <c r="Q17" s="3" t="s">
        <v>25</v>
      </c>
      <c r="R17" s="3" t="str">
        <f aca="false">TEXT(A17,"YYYY-MM")</f>
        <v>2025-01</v>
      </c>
    </row>
    <row r="18" customFormat="false" ht="15" hidden="false" customHeight="false" outlineLevel="0" collapsed="false">
      <c r="A18" s="2" t="n">
        <v>45671</v>
      </c>
      <c r="B18" s="3" t="s">
        <v>99</v>
      </c>
      <c r="C18" s="3" t="s">
        <v>100</v>
      </c>
      <c r="D18" s="4" t="s">
        <v>101</v>
      </c>
      <c r="E18" s="3" t="s">
        <v>102</v>
      </c>
      <c r="F18" s="4" t="s">
        <v>103</v>
      </c>
      <c r="G18" s="3" t="s">
        <v>31</v>
      </c>
      <c r="H18" s="3" t="s">
        <v>44</v>
      </c>
      <c r="I18" s="5" t="n">
        <v>579</v>
      </c>
      <c r="J18" s="6" t="n">
        <v>1770</v>
      </c>
      <c r="K18" s="7" t="n">
        <f aca="false">I18*J18</f>
        <v>1024830</v>
      </c>
      <c r="L18" s="8" t="n">
        <v>0.06</v>
      </c>
      <c r="M18" s="7" t="n">
        <f aca="false">K18*(1-L18)</f>
        <v>963340.2</v>
      </c>
      <c r="N18" s="8" t="n">
        <v>0.62</v>
      </c>
      <c r="O18" s="7" t="n">
        <f aca="false">M18*N18</f>
        <v>597270.924</v>
      </c>
      <c r="P18" s="7" t="n">
        <f aca="false">M18-O18</f>
        <v>366069.276</v>
      </c>
      <c r="Q18" s="3" t="s">
        <v>25</v>
      </c>
      <c r="R18" s="3" t="str">
        <f aca="false">TEXT(A18,"YYYY-MM")</f>
        <v>2025-01</v>
      </c>
    </row>
    <row r="19" customFormat="false" ht="15" hidden="false" customHeight="false" outlineLevel="0" collapsed="false">
      <c r="A19" s="2" t="n">
        <v>45672</v>
      </c>
      <c r="B19" s="3" t="s">
        <v>104</v>
      </c>
      <c r="C19" s="3" t="s">
        <v>105</v>
      </c>
      <c r="D19" s="4" t="s">
        <v>106</v>
      </c>
      <c r="E19" s="3" t="s">
        <v>107</v>
      </c>
      <c r="F19" s="4" t="s">
        <v>108</v>
      </c>
      <c r="G19" s="3" t="s">
        <v>31</v>
      </c>
      <c r="H19" s="3" t="s">
        <v>44</v>
      </c>
      <c r="I19" s="5" t="n">
        <v>200</v>
      </c>
      <c r="J19" s="6" t="n">
        <v>3270</v>
      </c>
      <c r="K19" s="7" t="n">
        <f aca="false">I19*J19</f>
        <v>654000</v>
      </c>
      <c r="L19" s="8" t="n">
        <v>0</v>
      </c>
      <c r="M19" s="7" t="n">
        <f aca="false">K19*(1-L19)</f>
        <v>654000</v>
      </c>
      <c r="N19" s="8" t="n">
        <v>0.667</v>
      </c>
      <c r="O19" s="7" t="n">
        <f aca="false">M19*N19</f>
        <v>436218</v>
      </c>
      <c r="P19" s="7" t="n">
        <f aca="false">M19-O19</f>
        <v>217782</v>
      </c>
      <c r="Q19" s="3" t="s">
        <v>25</v>
      </c>
      <c r="R19" s="3" t="str">
        <f aca="false">TEXT(A19,"YYYY-MM")</f>
        <v>2025-01</v>
      </c>
    </row>
    <row r="20" customFormat="false" ht="15" hidden="false" customHeight="false" outlineLevel="0" collapsed="false">
      <c r="A20" s="2" t="n">
        <v>45674</v>
      </c>
      <c r="B20" s="3" t="s">
        <v>109</v>
      </c>
      <c r="C20" s="3" t="s">
        <v>110</v>
      </c>
      <c r="D20" s="4" t="s">
        <v>111</v>
      </c>
      <c r="E20" s="3" t="s">
        <v>112</v>
      </c>
      <c r="F20" s="4" t="s">
        <v>113</v>
      </c>
      <c r="G20" s="3" t="s">
        <v>31</v>
      </c>
      <c r="H20" s="3" t="s">
        <v>44</v>
      </c>
      <c r="I20" s="5" t="n">
        <v>165</v>
      </c>
      <c r="J20" s="6" t="n">
        <v>3450</v>
      </c>
      <c r="K20" s="7" t="n">
        <f aca="false">I20*J20</f>
        <v>569250</v>
      </c>
      <c r="L20" s="8" t="n">
        <v>0</v>
      </c>
      <c r="M20" s="7" t="n">
        <f aca="false">K20*(1-L20)</f>
        <v>569250</v>
      </c>
      <c r="N20" s="8" t="n">
        <v>0.636</v>
      </c>
      <c r="O20" s="7" t="n">
        <f aca="false">M20*N20</f>
        <v>362043</v>
      </c>
      <c r="P20" s="7" t="n">
        <f aca="false">M20-O20</f>
        <v>207207</v>
      </c>
      <c r="Q20" s="3" t="s">
        <v>25</v>
      </c>
      <c r="R20" s="3" t="str">
        <f aca="false">TEXT(A20,"YYYY-MM")</f>
        <v>2025-01</v>
      </c>
    </row>
    <row r="21" customFormat="false" ht="15" hidden="false" customHeight="false" outlineLevel="0" collapsed="false">
      <c r="A21" s="2" t="n">
        <v>45675</v>
      </c>
      <c r="B21" s="3" t="s">
        <v>114</v>
      </c>
      <c r="C21" s="3" t="s">
        <v>115</v>
      </c>
      <c r="D21" s="4" t="s">
        <v>116</v>
      </c>
      <c r="E21" s="3" t="s">
        <v>107</v>
      </c>
      <c r="F21" s="4" t="s">
        <v>108</v>
      </c>
      <c r="G21" s="3" t="s">
        <v>31</v>
      </c>
      <c r="H21" s="3" t="s">
        <v>44</v>
      </c>
      <c r="I21" s="5" t="n">
        <v>561</v>
      </c>
      <c r="J21" s="6" t="n">
        <v>3270</v>
      </c>
      <c r="K21" s="7" t="n">
        <f aca="false">I21*J21</f>
        <v>1834470</v>
      </c>
      <c r="L21" s="8" t="n">
        <v>0.04</v>
      </c>
      <c r="M21" s="7" t="n">
        <f aca="false">K21*(1-L21)</f>
        <v>1761091.2</v>
      </c>
      <c r="N21" s="8" t="n">
        <v>0.685</v>
      </c>
      <c r="O21" s="7" t="n">
        <f aca="false">M21*N21</f>
        <v>1206347.472</v>
      </c>
      <c r="P21" s="7" t="n">
        <f aca="false">M21-O21</f>
        <v>554743.728</v>
      </c>
      <c r="Q21" s="3" t="s">
        <v>25</v>
      </c>
      <c r="R21" s="3" t="str">
        <f aca="false">TEXT(A21,"YYYY-MM")</f>
        <v>2025-01</v>
      </c>
    </row>
    <row r="22" customFormat="false" ht="15" hidden="false" customHeight="false" outlineLevel="0" collapsed="false">
      <c r="A22" s="2" t="n">
        <v>45675</v>
      </c>
      <c r="B22" s="3" t="s">
        <v>117</v>
      </c>
      <c r="C22" s="3" t="s">
        <v>118</v>
      </c>
      <c r="D22" s="4" t="s">
        <v>34</v>
      </c>
      <c r="E22" s="3" t="s">
        <v>21</v>
      </c>
      <c r="F22" s="4" t="s">
        <v>22</v>
      </c>
      <c r="G22" s="3" t="s">
        <v>23</v>
      </c>
      <c r="H22" s="3" t="s">
        <v>38</v>
      </c>
      <c r="I22" s="5" t="n">
        <v>489</v>
      </c>
      <c r="J22" s="6" t="n">
        <v>14670</v>
      </c>
      <c r="K22" s="7" t="n">
        <f aca="false">I22*J22</f>
        <v>7173630</v>
      </c>
      <c r="L22" s="8" t="n">
        <v>0.078</v>
      </c>
      <c r="M22" s="7" t="n">
        <f aca="false">K22*(1-L22)</f>
        <v>6614086.86</v>
      </c>
      <c r="N22" s="8" t="n">
        <v>0.698</v>
      </c>
      <c r="O22" s="7" t="n">
        <f aca="false">M22*N22</f>
        <v>4616632.62828</v>
      </c>
      <c r="P22" s="7" t="n">
        <f aca="false">M22-O22</f>
        <v>1997454.23172</v>
      </c>
      <c r="Q22" s="3" t="s">
        <v>25</v>
      </c>
      <c r="R22" s="3" t="str">
        <f aca="false">TEXT(A22,"YYYY-MM")</f>
        <v>2025-01</v>
      </c>
    </row>
    <row r="23" customFormat="false" ht="15" hidden="false" customHeight="false" outlineLevel="0" collapsed="false">
      <c r="A23" s="2" t="n">
        <v>45678</v>
      </c>
      <c r="B23" s="3" t="s">
        <v>119</v>
      </c>
      <c r="C23" s="3" t="s">
        <v>97</v>
      </c>
      <c r="D23" s="4" t="s">
        <v>98</v>
      </c>
      <c r="E23" s="3" t="s">
        <v>120</v>
      </c>
      <c r="F23" s="4" t="s">
        <v>121</v>
      </c>
      <c r="G23" s="3" t="s">
        <v>37</v>
      </c>
      <c r="H23" s="3" t="s">
        <v>44</v>
      </c>
      <c r="I23" s="5" t="n">
        <v>329</v>
      </c>
      <c r="J23" s="6" t="n">
        <v>8910</v>
      </c>
      <c r="K23" s="7" t="n">
        <f aca="false">I23*J23</f>
        <v>2931390</v>
      </c>
      <c r="L23" s="8" t="n">
        <v>0.073</v>
      </c>
      <c r="M23" s="7" t="n">
        <f aca="false">K23*(1-L23)</f>
        <v>2717398.53</v>
      </c>
      <c r="N23" s="8" t="n">
        <v>0.683</v>
      </c>
      <c r="O23" s="7" t="n">
        <f aca="false">M23*N23</f>
        <v>1855983.19599</v>
      </c>
      <c r="P23" s="7" t="n">
        <f aca="false">M23-O23</f>
        <v>861415.33401</v>
      </c>
      <c r="Q23" s="3" t="s">
        <v>25</v>
      </c>
      <c r="R23" s="3" t="str">
        <f aca="false">TEXT(A23,"YYYY-MM")</f>
        <v>2025-01</v>
      </c>
    </row>
    <row r="24" customFormat="false" ht="15" hidden="false" customHeight="false" outlineLevel="0" collapsed="false">
      <c r="A24" s="2" t="n">
        <v>45678</v>
      </c>
      <c r="B24" s="3" t="s">
        <v>122</v>
      </c>
      <c r="C24" s="3" t="s">
        <v>123</v>
      </c>
      <c r="D24" s="4" t="s">
        <v>124</v>
      </c>
      <c r="E24" s="3" t="s">
        <v>125</v>
      </c>
      <c r="F24" s="4" t="s">
        <v>126</v>
      </c>
      <c r="G24" s="3" t="s">
        <v>31</v>
      </c>
      <c r="H24" s="3" t="s">
        <v>24</v>
      </c>
      <c r="I24" s="5" t="n">
        <v>179</v>
      </c>
      <c r="J24" s="6" t="n">
        <v>6960</v>
      </c>
      <c r="K24" s="7" t="n">
        <f aca="false">I24*J24</f>
        <v>1245840</v>
      </c>
      <c r="L24" s="8" t="n">
        <v>0.006</v>
      </c>
      <c r="M24" s="7" t="n">
        <f aca="false">K24*(1-L24)</f>
        <v>1238364.96</v>
      </c>
      <c r="N24" s="8" t="n">
        <v>0.622</v>
      </c>
      <c r="O24" s="7" t="n">
        <f aca="false">M24*N24</f>
        <v>770263.00512</v>
      </c>
      <c r="P24" s="7" t="n">
        <f aca="false">M24-O24</f>
        <v>468101.95488</v>
      </c>
      <c r="Q24" s="3" t="s">
        <v>25</v>
      </c>
      <c r="R24" s="3" t="str">
        <f aca="false">TEXT(A24,"YYYY-MM")</f>
        <v>2025-01</v>
      </c>
    </row>
    <row r="25" customFormat="false" ht="15" hidden="false" customHeight="false" outlineLevel="0" collapsed="false">
      <c r="A25" s="2" t="n">
        <v>45678</v>
      </c>
      <c r="B25" s="3" t="s">
        <v>127</v>
      </c>
      <c r="C25" s="3" t="s">
        <v>128</v>
      </c>
      <c r="D25" s="4" t="s">
        <v>129</v>
      </c>
      <c r="E25" s="3" t="s">
        <v>75</v>
      </c>
      <c r="F25" s="4" t="s">
        <v>76</v>
      </c>
      <c r="G25" s="3" t="s">
        <v>31</v>
      </c>
      <c r="H25" s="3" t="s">
        <v>38</v>
      </c>
      <c r="I25" s="5" t="n">
        <v>207</v>
      </c>
      <c r="J25" s="6" t="n">
        <v>3600</v>
      </c>
      <c r="K25" s="7" t="n">
        <f aca="false">I25*J25</f>
        <v>745200</v>
      </c>
      <c r="L25" s="8" t="n">
        <v>0.042</v>
      </c>
      <c r="M25" s="7" t="n">
        <f aca="false">K25*(1-L25)</f>
        <v>713901.6</v>
      </c>
      <c r="N25" s="8" t="n">
        <v>0.728</v>
      </c>
      <c r="O25" s="7" t="n">
        <f aca="false">M25*N25</f>
        <v>519720.3648</v>
      </c>
      <c r="P25" s="7" t="n">
        <f aca="false">M25-O25</f>
        <v>194181.2352</v>
      </c>
      <c r="Q25" s="3" t="s">
        <v>25</v>
      </c>
      <c r="R25" s="3" t="str">
        <f aca="false">TEXT(A25,"YYYY-MM")</f>
        <v>2025-01</v>
      </c>
    </row>
    <row r="26" customFormat="false" ht="15" hidden="false" customHeight="false" outlineLevel="0" collapsed="false">
      <c r="A26" s="2" t="n">
        <v>45680</v>
      </c>
      <c r="B26" s="3" t="s">
        <v>130</v>
      </c>
      <c r="C26" s="3" t="s">
        <v>131</v>
      </c>
      <c r="D26" s="4" t="s">
        <v>132</v>
      </c>
      <c r="E26" s="3" t="s">
        <v>133</v>
      </c>
      <c r="F26" s="4" t="s">
        <v>134</v>
      </c>
      <c r="G26" s="3" t="s">
        <v>23</v>
      </c>
      <c r="H26" s="3" t="s">
        <v>44</v>
      </c>
      <c r="I26" s="5" t="n">
        <v>429</v>
      </c>
      <c r="J26" s="6" t="n">
        <v>12140</v>
      </c>
      <c r="K26" s="7" t="n">
        <f aca="false">I26*J26</f>
        <v>5208060</v>
      </c>
      <c r="L26" s="8" t="n">
        <v>0.097</v>
      </c>
      <c r="M26" s="7" t="n">
        <f aca="false">K26*(1-L26)</f>
        <v>4702878.18</v>
      </c>
      <c r="N26" s="8" t="n">
        <v>0.741</v>
      </c>
      <c r="O26" s="7" t="n">
        <f aca="false">M26*N26</f>
        <v>3484832.73138</v>
      </c>
      <c r="P26" s="7" t="n">
        <f aca="false">M26-O26</f>
        <v>1218045.44862</v>
      </c>
      <c r="Q26" s="3" t="s">
        <v>25</v>
      </c>
      <c r="R26" s="3" t="str">
        <f aca="false">TEXT(A26,"YYYY-MM")</f>
        <v>2025-01</v>
      </c>
    </row>
    <row r="27" customFormat="false" ht="15" hidden="false" customHeight="false" outlineLevel="0" collapsed="false">
      <c r="A27" s="2" t="n">
        <v>45681</v>
      </c>
      <c r="B27" s="3" t="s">
        <v>135</v>
      </c>
      <c r="C27" s="3" t="s">
        <v>136</v>
      </c>
      <c r="D27" s="4" t="s">
        <v>137</v>
      </c>
      <c r="E27" s="3" t="s">
        <v>102</v>
      </c>
      <c r="F27" s="4" t="s">
        <v>103</v>
      </c>
      <c r="G27" s="3" t="s">
        <v>31</v>
      </c>
      <c r="H27" s="3" t="s">
        <v>24</v>
      </c>
      <c r="I27" s="5" t="n">
        <v>506</v>
      </c>
      <c r="J27" s="6" t="n">
        <v>1770</v>
      </c>
      <c r="K27" s="7" t="n">
        <f aca="false">I27*J27</f>
        <v>895620</v>
      </c>
      <c r="L27" s="8" t="n">
        <v>0.06</v>
      </c>
      <c r="M27" s="7" t="n">
        <f aca="false">K27*(1-L27)</f>
        <v>841882.8</v>
      </c>
      <c r="N27" s="8" t="n">
        <v>0.748</v>
      </c>
      <c r="O27" s="7" t="n">
        <f aca="false">M27*N27</f>
        <v>629728.3344</v>
      </c>
      <c r="P27" s="7" t="n">
        <f aca="false">M27-O27</f>
        <v>212154.4656</v>
      </c>
      <c r="Q27" s="3" t="s">
        <v>25</v>
      </c>
      <c r="R27" s="3" t="str">
        <f aca="false">TEXT(A27,"YYYY-MM")</f>
        <v>2025-01</v>
      </c>
    </row>
    <row r="28" customFormat="false" ht="15" hidden="false" customHeight="false" outlineLevel="0" collapsed="false">
      <c r="A28" s="2" t="n">
        <v>45681</v>
      </c>
      <c r="B28" s="3" t="s">
        <v>138</v>
      </c>
      <c r="C28" s="3" t="s">
        <v>131</v>
      </c>
      <c r="D28" s="4" t="s">
        <v>132</v>
      </c>
      <c r="E28" s="3" t="s">
        <v>139</v>
      </c>
      <c r="F28" s="4" t="s">
        <v>140</v>
      </c>
      <c r="G28" s="3" t="s">
        <v>23</v>
      </c>
      <c r="H28" s="3" t="s">
        <v>44</v>
      </c>
      <c r="I28" s="5" t="n">
        <v>66</v>
      </c>
      <c r="J28" s="6" t="n">
        <v>14280</v>
      </c>
      <c r="K28" s="7" t="n">
        <f aca="false">I28*J28</f>
        <v>942480</v>
      </c>
      <c r="L28" s="8" t="n">
        <v>0</v>
      </c>
      <c r="M28" s="7" t="n">
        <f aca="false">K28*(1-L28)</f>
        <v>942480</v>
      </c>
      <c r="N28" s="8" t="n">
        <v>0.645</v>
      </c>
      <c r="O28" s="7" t="n">
        <f aca="false">M28*N28</f>
        <v>607899.6</v>
      </c>
      <c r="P28" s="7" t="n">
        <f aca="false">M28-O28</f>
        <v>334580.4</v>
      </c>
      <c r="Q28" s="3" t="s">
        <v>25</v>
      </c>
      <c r="R28" s="3" t="str">
        <f aca="false">TEXT(A28,"YYYY-MM")</f>
        <v>2025-01</v>
      </c>
    </row>
    <row r="29" customFormat="false" ht="15" hidden="false" customHeight="false" outlineLevel="0" collapsed="false">
      <c r="A29" s="2" t="n">
        <v>45682</v>
      </c>
      <c r="B29" s="3" t="s">
        <v>141</v>
      </c>
      <c r="C29" s="3" t="s">
        <v>142</v>
      </c>
      <c r="D29" s="4" t="s">
        <v>111</v>
      </c>
      <c r="E29" s="3" t="s">
        <v>143</v>
      </c>
      <c r="F29" s="4" t="s">
        <v>144</v>
      </c>
      <c r="G29" s="3" t="s">
        <v>31</v>
      </c>
      <c r="H29" s="3" t="s">
        <v>44</v>
      </c>
      <c r="I29" s="5" t="n">
        <v>252</v>
      </c>
      <c r="J29" s="6" t="n">
        <v>5060</v>
      </c>
      <c r="K29" s="7" t="n">
        <f aca="false">I29*J29</f>
        <v>1275120</v>
      </c>
      <c r="L29" s="8" t="n">
        <v>0</v>
      </c>
      <c r="M29" s="7" t="n">
        <f aca="false">K29*(1-L29)</f>
        <v>1275120</v>
      </c>
      <c r="N29" s="8" t="n">
        <v>0.624</v>
      </c>
      <c r="O29" s="7" t="n">
        <f aca="false">M29*N29</f>
        <v>795674.88</v>
      </c>
      <c r="P29" s="7" t="n">
        <f aca="false">M29-O29</f>
        <v>479445.12</v>
      </c>
      <c r="Q29" s="3" t="s">
        <v>25</v>
      </c>
      <c r="R29" s="3" t="str">
        <f aca="false">TEXT(A29,"YYYY-MM")</f>
        <v>2025-01</v>
      </c>
    </row>
    <row r="30" customFormat="false" ht="15" hidden="false" customHeight="false" outlineLevel="0" collapsed="false">
      <c r="A30" s="2" t="n">
        <v>45683</v>
      </c>
      <c r="B30" s="3" t="s">
        <v>145</v>
      </c>
      <c r="C30" s="3" t="s">
        <v>89</v>
      </c>
      <c r="D30" s="4" t="s">
        <v>90</v>
      </c>
      <c r="E30" s="3" t="s">
        <v>75</v>
      </c>
      <c r="F30" s="4" t="s">
        <v>76</v>
      </c>
      <c r="G30" s="3" t="s">
        <v>31</v>
      </c>
      <c r="H30" s="3" t="s">
        <v>38</v>
      </c>
      <c r="I30" s="5" t="n">
        <v>786</v>
      </c>
      <c r="J30" s="6" t="n">
        <v>3600</v>
      </c>
      <c r="K30" s="7" t="n">
        <f aca="false">I30*J30</f>
        <v>2829600</v>
      </c>
      <c r="L30" s="8" t="n">
        <v>0.119</v>
      </c>
      <c r="M30" s="7" t="n">
        <f aca="false">K30*(1-L30)</f>
        <v>2492877.6</v>
      </c>
      <c r="N30" s="8" t="n">
        <v>0.688</v>
      </c>
      <c r="O30" s="7" t="n">
        <f aca="false">M30*N30</f>
        <v>1715099.7888</v>
      </c>
      <c r="P30" s="7" t="n">
        <f aca="false">M30-O30</f>
        <v>777777.8112</v>
      </c>
      <c r="Q30" s="3" t="s">
        <v>25</v>
      </c>
      <c r="R30" s="3" t="str">
        <f aca="false">TEXT(A30,"YYYY-MM")</f>
        <v>2025-01</v>
      </c>
    </row>
    <row r="31" customFormat="false" ht="15" hidden="false" customHeight="false" outlineLevel="0" collapsed="false">
      <c r="A31" s="2" t="n">
        <v>45686</v>
      </c>
      <c r="B31" s="3" t="s">
        <v>146</v>
      </c>
      <c r="C31" s="3" t="s">
        <v>147</v>
      </c>
      <c r="D31" s="4" t="s">
        <v>148</v>
      </c>
      <c r="E31" s="3" t="s">
        <v>149</v>
      </c>
      <c r="F31" s="4" t="s">
        <v>150</v>
      </c>
      <c r="G31" s="3" t="s">
        <v>151</v>
      </c>
      <c r="H31" s="3" t="s">
        <v>44</v>
      </c>
      <c r="I31" s="5" t="n">
        <v>49</v>
      </c>
      <c r="J31" s="6" t="n">
        <v>9310</v>
      </c>
      <c r="K31" s="7" t="n">
        <f aca="false">I31*J31</f>
        <v>456190</v>
      </c>
      <c r="L31" s="8" t="n">
        <v>0</v>
      </c>
      <c r="M31" s="7" t="n">
        <f aca="false">K31*(1-L31)</f>
        <v>456190</v>
      </c>
      <c r="N31" s="8" t="n">
        <v>0.7</v>
      </c>
      <c r="O31" s="7" t="n">
        <f aca="false">M31*N31</f>
        <v>319333</v>
      </c>
      <c r="P31" s="7" t="n">
        <f aca="false">M31-O31</f>
        <v>136857</v>
      </c>
      <c r="Q31" s="3" t="s">
        <v>25</v>
      </c>
      <c r="R31" s="3" t="str">
        <f aca="false">TEXT(A31,"YYYY-MM")</f>
        <v>2025-01</v>
      </c>
    </row>
    <row r="32" customFormat="false" ht="15" hidden="false" customHeight="false" outlineLevel="0" collapsed="false">
      <c r="A32" s="2" t="n">
        <v>45686</v>
      </c>
      <c r="B32" s="3" t="s">
        <v>152</v>
      </c>
      <c r="C32" s="3" t="s">
        <v>153</v>
      </c>
      <c r="D32" s="4" t="s">
        <v>154</v>
      </c>
      <c r="E32" s="3" t="s">
        <v>94</v>
      </c>
      <c r="F32" s="4" t="s">
        <v>95</v>
      </c>
      <c r="G32" s="3" t="s">
        <v>31</v>
      </c>
      <c r="H32" s="3" t="s">
        <v>38</v>
      </c>
      <c r="I32" s="5" t="n">
        <v>954</v>
      </c>
      <c r="J32" s="6" t="n">
        <v>2860</v>
      </c>
      <c r="K32" s="7" t="n">
        <f aca="false">I32*J32</f>
        <v>2728440</v>
      </c>
      <c r="L32" s="8" t="n">
        <v>0.144</v>
      </c>
      <c r="M32" s="7" t="n">
        <f aca="false">K32*(1-L32)</f>
        <v>2335544.64</v>
      </c>
      <c r="N32" s="8" t="n">
        <v>0.674</v>
      </c>
      <c r="O32" s="7" t="n">
        <f aca="false">M32*N32</f>
        <v>1574157.08736</v>
      </c>
      <c r="P32" s="7" t="n">
        <f aca="false">M32-O32</f>
        <v>761387.55264</v>
      </c>
      <c r="Q32" s="3" t="s">
        <v>155</v>
      </c>
      <c r="R32" s="3" t="str">
        <f aca="false">TEXT(A32,"YYYY-MM")</f>
        <v>2025-01</v>
      </c>
    </row>
    <row r="33" customFormat="false" ht="15" hidden="false" customHeight="false" outlineLevel="0" collapsed="false">
      <c r="A33" s="2" t="n">
        <v>45688</v>
      </c>
      <c r="B33" s="3" t="s">
        <v>156</v>
      </c>
      <c r="C33" s="3" t="s">
        <v>157</v>
      </c>
      <c r="D33" s="4" t="s">
        <v>52</v>
      </c>
      <c r="E33" s="3" t="s">
        <v>158</v>
      </c>
      <c r="F33" s="4" t="s">
        <v>159</v>
      </c>
      <c r="G33" s="3" t="s">
        <v>23</v>
      </c>
      <c r="H33" s="3" t="s">
        <v>44</v>
      </c>
      <c r="I33" s="5" t="n">
        <v>552</v>
      </c>
      <c r="J33" s="6" t="n">
        <v>13910</v>
      </c>
      <c r="K33" s="7" t="n">
        <f aca="false">I33*J33</f>
        <v>7678320</v>
      </c>
      <c r="L33" s="8" t="n">
        <v>0.095</v>
      </c>
      <c r="M33" s="7" t="n">
        <f aca="false">K33*(1-L33)</f>
        <v>6948879.6</v>
      </c>
      <c r="N33" s="8" t="n">
        <v>0.682</v>
      </c>
      <c r="O33" s="7" t="n">
        <f aca="false">M33*N33</f>
        <v>4739135.8872</v>
      </c>
      <c r="P33" s="7" t="n">
        <f aca="false">M33-O33</f>
        <v>2209743.7128</v>
      </c>
      <c r="Q33" s="3" t="s">
        <v>25</v>
      </c>
      <c r="R33" s="3" t="str">
        <f aca="false">TEXT(A33,"YYYY-MM")</f>
        <v>2025-01</v>
      </c>
    </row>
    <row r="34" customFormat="false" ht="15" hidden="false" customHeight="false" outlineLevel="0" collapsed="false">
      <c r="A34" s="2" t="n">
        <v>45692</v>
      </c>
      <c r="B34" s="3" t="s">
        <v>160</v>
      </c>
      <c r="C34" s="3" t="s">
        <v>161</v>
      </c>
      <c r="D34" s="4" t="s">
        <v>162</v>
      </c>
      <c r="E34" s="3" t="s">
        <v>163</v>
      </c>
      <c r="F34" s="4" t="s">
        <v>164</v>
      </c>
      <c r="G34" s="3" t="s">
        <v>23</v>
      </c>
      <c r="H34" s="3" t="s">
        <v>24</v>
      </c>
      <c r="I34" s="5" t="n">
        <v>858</v>
      </c>
      <c r="J34" s="6" t="n">
        <v>3940</v>
      </c>
      <c r="K34" s="7" t="n">
        <f aca="false">I34*J34</f>
        <v>3380520</v>
      </c>
      <c r="L34" s="8" t="n">
        <v>0.088</v>
      </c>
      <c r="M34" s="7" t="n">
        <f aca="false">K34*(1-L34)</f>
        <v>3083034.24</v>
      </c>
      <c r="N34" s="8" t="n">
        <v>0.719</v>
      </c>
      <c r="O34" s="7" t="n">
        <f aca="false">M34*N34</f>
        <v>2216701.61856</v>
      </c>
      <c r="P34" s="7" t="n">
        <f aca="false">M34-O34</f>
        <v>866332.62144</v>
      </c>
      <c r="Q34" s="3" t="s">
        <v>25</v>
      </c>
      <c r="R34" s="3" t="str">
        <f aca="false">TEXT(A34,"YYYY-MM")</f>
        <v>2025-02</v>
      </c>
    </row>
    <row r="35" customFormat="false" ht="15" hidden="false" customHeight="false" outlineLevel="0" collapsed="false">
      <c r="A35" s="2" t="n">
        <v>45692</v>
      </c>
      <c r="B35" s="3" t="s">
        <v>165</v>
      </c>
      <c r="C35" s="3" t="s">
        <v>131</v>
      </c>
      <c r="D35" s="4" t="s">
        <v>132</v>
      </c>
      <c r="E35" s="3" t="s">
        <v>71</v>
      </c>
      <c r="F35" s="4" t="s">
        <v>72</v>
      </c>
      <c r="G35" s="3" t="s">
        <v>23</v>
      </c>
      <c r="H35" s="3" t="s">
        <v>44</v>
      </c>
      <c r="I35" s="5" t="n">
        <v>39</v>
      </c>
      <c r="J35" s="6" t="n">
        <v>6740</v>
      </c>
      <c r="K35" s="7" t="n">
        <f aca="false">I35*J35</f>
        <v>262860</v>
      </c>
      <c r="L35" s="8" t="n">
        <v>0</v>
      </c>
      <c r="M35" s="7" t="n">
        <f aca="false">K35*(1-L35)</f>
        <v>262860</v>
      </c>
      <c r="N35" s="8" t="n">
        <v>0.726</v>
      </c>
      <c r="O35" s="7" t="n">
        <f aca="false">M35*N35</f>
        <v>190836.36</v>
      </c>
      <c r="P35" s="7" t="n">
        <f aca="false">M35-O35</f>
        <v>72023.64</v>
      </c>
      <c r="Q35" s="3" t="s">
        <v>25</v>
      </c>
      <c r="R35" s="3" t="str">
        <f aca="false">TEXT(A35,"YYYY-MM")</f>
        <v>2025-02</v>
      </c>
    </row>
    <row r="36" customFormat="false" ht="15" hidden="false" customHeight="false" outlineLevel="0" collapsed="false">
      <c r="A36" s="2" t="n">
        <v>45692</v>
      </c>
      <c r="B36" s="3" t="s">
        <v>166</v>
      </c>
      <c r="C36" s="3" t="s">
        <v>167</v>
      </c>
      <c r="D36" s="4" t="s">
        <v>168</v>
      </c>
      <c r="E36" s="3" t="s">
        <v>29</v>
      </c>
      <c r="F36" s="4" t="s">
        <v>30</v>
      </c>
      <c r="G36" s="3" t="s">
        <v>31</v>
      </c>
      <c r="H36" s="3" t="s">
        <v>38</v>
      </c>
      <c r="I36" s="5" t="n">
        <v>421</v>
      </c>
      <c r="J36" s="6" t="n">
        <v>8000</v>
      </c>
      <c r="K36" s="7" t="n">
        <f aca="false">I36*J36</f>
        <v>3368000</v>
      </c>
      <c r="L36" s="8" t="n">
        <v>0.082</v>
      </c>
      <c r="M36" s="7" t="n">
        <f aca="false">K36*(1-L36)</f>
        <v>3091824</v>
      </c>
      <c r="N36" s="8" t="n">
        <v>0.717</v>
      </c>
      <c r="O36" s="7" t="n">
        <f aca="false">M36*N36</f>
        <v>2216837.808</v>
      </c>
      <c r="P36" s="7" t="n">
        <f aca="false">M36-O36</f>
        <v>874986.192</v>
      </c>
      <c r="Q36" s="3" t="s">
        <v>25</v>
      </c>
      <c r="R36" s="3" t="str">
        <f aca="false">TEXT(A36,"YYYY-MM")</f>
        <v>2025-02</v>
      </c>
    </row>
    <row r="37" customFormat="false" ht="15" hidden="false" customHeight="false" outlineLevel="0" collapsed="false">
      <c r="A37" s="2" t="n">
        <v>45693</v>
      </c>
      <c r="B37" s="3" t="s">
        <v>169</v>
      </c>
      <c r="C37" s="3" t="s">
        <v>170</v>
      </c>
      <c r="D37" s="4" t="s">
        <v>171</v>
      </c>
      <c r="E37" s="3" t="s">
        <v>172</v>
      </c>
      <c r="F37" s="4" t="s">
        <v>173</v>
      </c>
      <c r="G37" s="3" t="s">
        <v>31</v>
      </c>
      <c r="H37" s="3" t="s">
        <v>38</v>
      </c>
      <c r="I37" s="5" t="n">
        <v>799</v>
      </c>
      <c r="J37" s="6" t="n">
        <v>5730</v>
      </c>
      <c r="K37" s="7" t="n">
        <f aca="false">I37*J37</f>
        <v>4578270</v>
      </c>
      <c r="L37" s="8" t="n">
        <v>0.143</v>
      </c>
      <c r="M37" s="7" t="n">
        <f aca="false">K37*(1-L37)</f>
        <v>3923577.39</v>
      </c>
      <c r="N37" s="8" t="n">
        <v>0.622</v>
      </c>
      <c r="O37" s="7" t="n">
        <f aca="false">M37*N37</f>
        <v>2440465.13658</v>
      </c>
      <c r="P37" s="7" t="n">
        <f aca="false">M37-O37</f>
        <v>1483112.25342</v>
      </c>
      <c r="Q37" s="3" t="s">
        <v>25</v>
      </c>
      <c r="R37" s="3" t="str">
        <f aca="false">TEXT(A37,"YYYY-MM")</f>
        <v>2025-02</v>
      </c>
    </row>
    <row r="38" customFormat="false" ht="15" hidden="false" customHeight="false" outlineLevel="0" collapsed="false">
      <c r="A38" s="2" t="n">
        <v>45693</v>
      </c>
      <c r="B38" s="3" t="s">
        <v>174</v>
      </c>
      <c r="C38" s="3" t="s">
        <v>89</v>
      </c>
      <c r="D38" s="4" t="s">
        <v>90</v>
      </c>
      <c r="E38" s="3" t="s">
        <v>175</v>
      </c>
      <c r="F38" s="4" t="s">
        <v>176</v>
      </c>
      <c r="G38" s="3" t="s">
        <v>23</v>
      </c>
      <c r="H38" s="3" t="s">
        <v>38</v>
      </c>
      <c r="I38" s="5" t="n">
        <v>294</v>
      </c>
      <c r="J38" s="6" t="n">
        <v>2510</v>
      </c>
      <c r="K38" s="7" t="n">
        <f aca="false">I38*J38</f>
        <v>737940</v>
      </c>
      <c r="L38" s="8" t="n">
        <v>0.03</v>
      </c>
      <c r="M38" s="7" t="n">
        <f aca="false">K38*(1-L38)</f>
        <v>715801.8</v>
      </c>
      <c r="N38" s="8" t="n">
        <v>0.653</v>
      </c>
      <c r="O38" s="7" t="n">
        <f aca="false">M38*N38</f>
        <v>467418.5754</v>
      </c>
      <c r="P38" s="7" t="n">
        <f aca="false">M38-O38</f>
        <v>248383.2246</v>
      </c>
      <c r="Q38" s="3" t="s">
        <v>25</v>
      </c>
      <c r="R38" s="3" t="str">
        <f aca="false">TEXT(A38,"YYYY-MM")</f>
        <v>2025-02</v>
      </c>
    </row>
    <row r="39" customFormat="false" ht="15" hidden="false" customHeight="false" outlineLevel="0" collapsed="false">
      <c r="A39" s="2" t="n">
        <v>45695</v>
      </c>
      <c r="B39" s="3" t="s">
        <v>177</v>
      </c>
      <c r="C39" s="3" t="s">
        <v>178</v>
      </c>
      <c r="D39" s="4" t="s">
        <v>179</v>
      </c>
      <c r="E39" s="3" t="s">
        <v>42</v>
      </c>
      <c r="F39" s="4" t="s">
        <v>43</v>
      </c>
      <c r="G39" s="3" t="s">
        <v>23</v>
      </c>
      <c r="H39" s="3" t="s">
        <v>38</v>
      </c>
      <c r="I39" s="5" t="n">
        <v>912</v>
      </c>
      <c r="J39" s="6" t="n">
        <v>9950</v>
      </c>
      <c r="K39" s="7" t="n">
        <f aca="false">I39*J39</f>
        <v>9074400</v>
      </c>
      <c r="L39" s="8" t="n">
        <v>0.114</v>
      </c>
      <c r="M39" s="7" t="n">
        <f aca="false">K39*(1-L39)</f>
        <v>8039918.4</v>
      </c>
      <c r="N39" s="8" t="n">
        <v>0.608</v>
      </c>
      <c r="O39" s="7" t="n">
        <f aca="false">M39*N39</f>
        <v>4888270.3872</v>
      </c>
      <c r="P39" s="7" t="n">
        <f aca="false">M39-O39</f>
        <v>3151648.0128</v>
      </c>
      <c r="Q39" s="3" t="s">
        <v>25</v>
      </c>
      <c r="R39" s="3" t="str">
        <f aca="false">TEXT(A39,"YYYY-MM")</f>
        <v>2025-02</v>
      </c>
    </row>
    <row r="40" customFormat="false" ht="15" hidden="false" customHeight="false" outlineLevel="0" collapsed="false">
      <c r="A40" s="2" t="n">
        <v>45696</v>
      </c>
      <c r="B40" s="3" t="s">
        <v>180</v>
      </c>
      <c r="C40" s="3" t="s">
        <v>181</v>
      </c>
      <c r="D40" s="4" t="s">
        <v>182</v>
      </c>
      <c r="E40" s="3" t="s">
        <v>183</v>
      </c>
      <c r="F40" s="4" t="s">
        <v>184</v>
      </c>
      <c r="G40" s="3" t="s">
        <v>31</v>
      </c>
      <c r="H40" s="3" t="s">
        <v>44</v>
      </c>
      <c r="I40" s="5" t="n">
        <v>60</v>
      </c>
      <c r="J40" s="6" t="n">
        <v>8670</v>
      </c>
      <c r="K40" s="7" t="n">
        <f aca="false">I40*J40</f>
        <v>520200</v>
      </c>
      <c r="L40" s="8" t="n">
        <v>0</v>
      </c>
      <c r="M40" s="7" t="n">
        <f aca="false">K40*(1-L40)</f>
        <v>520200</v>
      </c>
      <c r="N40" s="8" t="n">
        <v>0.606</v>
      </c>
      <c r="O40" s="7" t="n">
        <f aca="false">M40*N40</f>
        <v>315241.2</v>
      </c>
      <c r="P40" s="7" t="n">
        <f aca="false">M40-O40</f>
        <v>204958.8</v>
      </c>
      <c r="Q40" s="3" t="s">
        <v>25</v>
      </c>
      <c r="R40" s="3" t="str">
        <f aca="false">TEXT(A40,"YYYY-MM")</f>
        <v>2025-02</v>
      </c>
    </row>
    <row r="41" customFormat="false" ht="15" hidden="false" customHeight="false" outlineLevel="0" collapsed="false">
      <c r="A41" s="2" t="n">
        <v>45697</v>
      </c>
      <c r="B41" s="3" t="s">
        <v>185</v>
      </c>
      <c r="C41" s="3" t="s">
        <v>69</v>
      </c>
      <c r="D41" s="4" t="s">
        <v>70</v>
      </c>
      <c r="E41" s="3" t="s">
        <v>186</v>
      </c>
      <c r="F41" s="4" t="s">
        <v>187</v>
      </c>
      <c r="G41" s="3" t="s">
        <v>151</v>
      </c>
      <c r="H41" s="3" t="s">
        <v>38</v>
      </c>
      <c r="I41" s="5" t="n">
        <v>245</v>
      </c>
      <c r="J41" s="6" t="n">
        <v>7280</v>
      </c>
      <c r="K41" s="7" t="n">
        <f aca="false">I41*J41</f>
        <v>1783600</v>
      </c>
      <c r="L41" s="8" t="n">
        <v>0</v>
      </c>
      <c r="M41" s="7" t="n">
        <f aca="false">K41*(1-L41)</f>
        <v>1783600</v>
      </c>
      <c r="N41" s="8" t="n">
        <v>0.606</v>
      </c>
      <c r="O41" s="7" t="n">
        <f aca="false">M41*N41</f>
        <v>1080861.6</v>
      </c>
      <c r="P41" s="7" t="n">
        <f aca="false">M41-O41</f>
        <v>702738.4</v>
      </c>
      <c r="Q41" s="3" t="s">
        <v>25</v>
      </c>
      <c r="R41" s="3" t="str">
        <f aca="false">TEXT(A41,"YYYY-MM")</f>
        <v>2025-02</v>
      </c>
    </row>
    <row r="42" customFormat="false" ht="15" hidden="false" customHeight="false" outlineLevel="0" collapsed="false">
      <c r="A42" s="2" t="n">
        <v>45698</v>
      </c>
      <c r="B42" s="3" t="s">
        <v>188</v>
      </c>
      <c r="C42" s="3" t="s">
        <v>189</v>
      </c>
      <c r="D42" s="4" t="s">
        <v>190</v>
      </c>
      <c r="E42" s="3" t="s">
        <v>191</v>
      </c>
      <c r="F42" s="4" t="s">
        <v>192</v>
      </c>
      <c r="G42" s="3" t="s">
        <v>31</v>
      </c>
      <c r="H42" s="3" t="s">
        <v>38</v>
      </c>
      <c r="I42" s="5" t="n">
        <v>294</v>
      </c>
      <c r="J42" s="6" t="n">
        <v>5900</v>
      </c>
      <c r="K42" s="7" t="n">
        <f aca="false">I42*J42</f>
        <v>1734600</v>
      </c>
      <c r="L42" s="8" t="n">
        <v>0.04</v>
      </c>
      <c r="M42" s="7" t="n">
        <f aca="false">K42*(1-L42)</f>
        <v>1665216</v>
      </c>
      <c r="N42" s="8" t="n">
        <v>0.746</v>
      </c>
      <c r="O42" s="7" t="n">
        <f aca="false">M42*N42</f>
        <v>1242251.136</v>
      </c>
      <c r="P42" s="7" t="n">
        <f aca="false">M42-O42</f>
        <v>422964.864</v>
      </c>
      <c r="Q42" s="3" t="s">
        <v>155</v>
      </c>
      <c r="R42" s="3" t="str">
        <f aca="false">TEXT(A42,"YYYY-MM")</f>
        <v>2025-02</v>
      </c>
    </row>
    <row r="43" customFormat="false" ht="15" hidden="false" customHeight="false" outlineLevel="0" collapsed="false">
      <c r="A43" s="2" t="n">
        <v>45698</v>
      </c>
      <c r="B43" s="3" t="s">
        <v>193</v>
      </c>
      <c r="C43" s="3" t="s">
        <v>194</v>
      </c>
      <c r="D43" s="4" t="s">
        <v>195</v>
      </c>
      <c r="E43" s="3" t="s">
        <v>196</v>
      </c>
      <c r="F43" s="4" t="s">
        <v>197</v>
      </c>
      <c r="G43" s="3" t="s">
        <v>23</v>
      </c>
      <c r="H43" s="3" t="s">
        <v>38</v>
      </c>
      <c r="I43" s="5" t="n">
        <v>257</v>
      </c>
      <c r="J43" s="6" t="n">
        <v>8310</v>
      </c>
      <c r="K43" s="7" t="n">
        <f aca="false">I43*J43</f>
        <v>2135670</v>
      </c>
      <c r="L43" s="8" t="n">
        <v>0</v>
      </c>
      <c r="M43" s="7" t="n">
        <f aca="false">K43*(1-L43)</f>
        <v>2135670</v>
      </c>
      <c r="N43" s="8" t="n">
        <v>0.719</v>
      </c>
      <c r="O43" s="7" t="n">
        <f aca="false">M43*N43</f>
        <v>1535546.73</v>
      </c>
      <c r="P43" s="7" t="n">
        <f aca="false">M43-O43</f>
        <v>600123.27</v>
      </c>
      <c r="Q43" s="3" t="s">
        <v>25</v>
      </c>
      <c r="R43" s="3" t="str">
        <f aca="false">TEXT(A43,"YYYY-MM")</f>
        <v>2025-02</v>
      </c>
    </row>
    <row r="44" customFormat="false" ht="15" hidden="false" customHeight="false" outlineLevel="0" collapsed="false">
      <c r="A44" s="2" t="n">
        <v>45699</v>
      </c>
      <c r="B44" s="3" t="s">
        <v>198</v>
      </c>
      <c r="C44" s="3" t="s">
        <v>51</v>
      </c>
      <c r="D44" s="4" t="s">
        <v>52</v>
      </c>
      <c r="E44" s="3" t="s">
        <v>199</v>
      </c>
      <c r="F44" s="4" t="s">
        <v>200</v>
      </c>
      <c r="G44" s="3" t="s">
        <v>201</v>
      </c>
      <c r="H44" s="3" t="s">
        <v>44</v>
      </c>
      <c r="I44" s="5" t="n">
        <v>285</v>
      </c>
      <c r="J44" s="6" t="n">
        <v>9070</v>
      </c>
      <c r="K44" s="7" t="n">
        <f aca="false">I44*J44</f>
        <v>2584950</v>
      </c>
      <c r="L44" s="8" t="n">
        <v>0.025</v>
      </c>
      <c r="M44" s="7" t="n">
        <f aca="false">K44*(1-L44)</f>
        <v>2520326.25</v>
      </c>
      <c r="N44" s="8" t="n">
        <v>0.692</v>
      </c>
      <c r="O44" s="7" t="n">
        <f aca="false">M44*N44</f>
        <v>1744065.765</v>
      </c>
      <c r="P44" s="7" t="n">
        <f aca="false">M44-O44</f>
        <v>776260.485</v>
      </c>
      <c r="Q44" s="3" t="s">
        <v>25</v>
      </c>
      <c r="R44" s="3" t="str">
        <f aca="false">TEXT(A44,"YYYY-MM")</f>
        <v>2025-02</v>
      </c>
    </row>
    <row r="45" customFormat="false" ht="15" hidden="false" customHeight="false" outlineLevel="0" collapsed="false">
      <c r="A45" s="2" t="n">
        <v>45701</v>
      </c>
      <c r="B45" s="3" t="s">
        <v>202</v>
      </c>
      <c r="C45" s="3" t="s">
        <v>203</v>
      </c>
      <c r="D45" s="4" t="s">
        <v>204</v>
      </c>
      <c r="E45" s="3" t="s">
        <v>205</v>
      </c>
      <c r="F45" s="4" t="s">
        <v>206</v>
      </c>
      <c r="G45" s="3" t="s">
        <v>201</v>
      </c>
      <c r="H45" s="3" t="s">
        <v>24</v>
      </c>
      <c r="I45" s="5" t="n">
        <v>262</v>
      </c>
      <c r="J45" s="6" t="n">
        <v>16250</v>
      </c>
      <c r="K45" s="7" t="n">
        <f aca="false">I45*J45</f>
        <v>4257500</v>
      </c>
      <c r="L45" s="8" t="n">
        <v>0</v>
      </c>
      <c r="M45" s="7" t="n">
        <f aca="false">K45*(1-L45)</f>
        <v>4257500</v>
      </c>
      <c r="N45" s="8" t="n">
        <v>0.607</v>
      </c>
      <c r="O45" s="7" t="n">
        <f aca="false">M45*N45</f>
        <v>2584302.5</v>
      </c>
      <c r="P45" s="7" t="n">
        <f aca="false">M45-O45</f>
        <v>1673197.5</v>
      </c>
      <c r="Q45" s="3" t="s">
        <v>25</v>
      </c>
      <c r="R45" s="3" t="str">
        <f aca="false">TEXT(A45,"YYYY-MM")</f>
        <v>2025-02</v>
      </c>
    </row>
    <row r="46" customFormat="false" ht="15" hidden="false" customHeight="false" outlineLevel="0" collapsed="false">
      <c r="A46" s="2" t="n">
        <v>45702</v>
      </c>
      <c r="B46" s="3" t="s">
        <v>207</v>
      </c>
      <c r="C46" s="3" t="s">
        <v>100</v>
      </c>
      <c r="D46" s="4" t="s">
        <v>101</v>
      </c>
      <c r="E46" s="3" t="s">
        <v>86</v>
      </c>
      <c r="F46" s="4" t="s">
        <v>87</v>
      </c>
      <c r="G46" s="3" t="s">
        <v>23</v>
      </c>
      <c r="H46" s="3" t="s">
        <v>44</v>
      </c>
      <c r="I46" s="5" t="n">
        <v>141</v>
      </c>
      <c r="J46" s="6" t="n">
        <v>11620</v>
      </c>
      <c r="K46" s="7" t="n">
        <f aca="false">I46*J46</f>
        <v>1638420</v>
      </c>
      <c r="L46" s="8" t="n">
        <v>0</v>
      </c>
      <c r="M46" s="7" t="n">
        <f aca="false">K46*(1-L46)</f>
        <v>1638420</v>
      </c>
      <c r="N46" s="8" t="n">
        <v>0.607</v>
      </c>
      <c r="O46" s="7" t="n">
        <f aca="false">M46*N46</f>
        <v>994520.94</v>
      </c>
      <c r="P46" s="7" t="n">
        <f aca="false">M46-O46</f>
        <v>643899.06</v>
      </c>
      <c r="Q46" s="3" t="s">
        <v>25</v>
      </c>
      <c r="R46" s="3" t="str">
        <f aca="false">TEXT(A46,"YYYY-MM")</f>
        <v>2025-02</v>
      </c>
    </row>
    <row r="47" customFormat="false" ht="15" hidden="false" customHeight="false" outlineLevel="0" collapsed="false">
      <c r="A47" s="2" t="n">
        <v>45702</v>
      </c>
      <c r="B47" s="3" t="s">
        <v>208</v>
      </c>
      <c r="C47" s="3" t="s">
        <v>209</v>
      </c>
      <c r="D47" s="4" t="s">
        <v>210</v>
      </c>
      <c r="E47" s="3" t="s">
        <v>211</v>
      </c>
      <c r="F47" s="4" t="s">
        <v>212</v>
      </c>
      <c r="G47" s="3" t="s">
        <v>23</v>
      </c>
      <c r="H47" s="3" t="s">
        <v>44</v>
      </c>
      <c r="I47" s="5" t="n">
        <v>623</v>
      </c>
      <c r="J47" s="6" t="n">
        <v>13150</v>
      </c>
      <c r="K47" s="7" t="n">
        <f aca="false">I47*J47</f>
        <v>8192450</v>
      </c>
      <c r="L47" s="8" t="n">
        <v>0.12</v>
      </c>
      <c r="M47" s="7" t="n">
        <f aca="false">K47*(1-L47)</f>
        <v>7209356</v>
      </c>
      <c r="N47" s="8" t="n">
        <v>0.644</v>
      </c>
      <c r="O47" s="7" t="n">
        <f aca="false">M47*N47</f>
        <v>4642825.264</v>
      </c>
      <c r="P47" s="7" t="n">
        <f aca="false">M47-O47</f>
        <v>2566530.736</v>
      </c>
      <c r="Q47" s="3" t="s">
        <v>25</v>
      </c>
      <c r="R47" s="3" t="str">
        <f aca="false">TEXT(A47,"YYYY-MM")</f>
        <v>2025-02</v>
      </c>
    </row>
    <row r="48" customFormat="false" ht="15" hidden="false" customHeight="false" outlineLevel="0" collapsed="false">
      <c r="A48" s="2" t="n">
        <v>45702</v>
      </c>
      <c r="B48" s="3" t="s">
        <v>213</v>
      </c>
      <c r="C48" s="3" t="s">
        <v>214</v>
      </c>
      <c r="D48" s="4" t="s">
        <v>215</v>
      </c>
      <c r="E48" s="3" t="s">
        <v>216</v>
      </c>
      <c r="F48" s="4" t="s">
        <v>217</v>
      </c>
      <c r="G48" s="3" t="s">
        <v>151</v>
      </c>
      <c r="H48" s="3" t="s">
        <v>38</v>
      </c>
      <c r="I48" s="5" t="n">
        <v>242</v>
      </c>
      <c r="J48" s="6" t="n">
        <v>16820</v>
      </c>
      <c r="K48" s="7" t="n">
        <f aca="false">I48*J48</f>
        <v>4070440</v>
      </c>
      <c r="L48" s="8" t="n">
        <v>0.017</v>
      </c>
      <c r="M48" s="7" t="n">
        <f aca="false">K48*(1-L48)</f>
        <v>4001242.52</v>
      </c>
      <c r="N48" s="8" t="n">
        <v>0.677</v>
      </c>
      <c r="O48" s="7" t="n">
        <f aca="false">M48*N48</f>
        <v>2708841.18604</v>
      </c>
      <c r="P48" s="7" t="n">
        <f aca="false">M48-O48</f>
        <v>1292401.33396</v>
      </c>
      <c r="Q48" s="3" t="s">
        <v>25</v>
      </c>
      <c r="R48" s="3" t="str">
        <f aca="false">TEXT(A48,"YYYY-MM")</f>
        <v>2025-02</v>
      </c>
    </row>
    <row r="49" customFormat="false" ht="15" hidden="false" customHeight="false" outlineLevel="0" collapsed="false">
      <c r="A49" s="2" t="n">
        <v>45704</v>
      </c>
      <c r="B49" s="3" t="s">
        <v>218</v>
      </c>
      <c r="C49" s="3" t="s">
        <v>66</v>
      </c>
      <c r="D49" s="4" t="s">
        <v>67</v>
      </c>
      <c r="E49" s="3" t="s">
        <v>219</v>
      </c>
      <c r="F49" s="4" t="s">
        <v>220</v>
      </c>
      <c r="G49" s="3" t="s">
        <v>23</v>
      </c>
      <c r="H49" s="3" t="s">
        <v>44</v>
      </c>
      <c r="I49" s="5" t="n">
        <v>190</v>
      </c>
      <c r="J49" s="6" t="n">
        <v>13570</v>
      </c>
      <c r="K49" s="7" t="n">
        <f aca="false">I49*J49</f>
        <v>2578300</v>
      </c>
      <c r="L49" s="8" t="n">
        <v>0.044</v>
      </c>
      <c r="M49" s="7" t="n">
        <f aca="false">K49*(1-L49)</f>
        <v>2464854.8</v>
      </c>
      <c r="N49" s="8" t="n">
        <v>0.666</v>
      </c>
      <c r="O49" s="7" t="n">
        <f aca="false">M49*N49</f>
        <v>1641593.2968</v>
      </c>
      <c r="P49" s="7" t="n">
        <f aca="false">M49-O49</f>
        <v>823261.5032</v>
      </c>
      <c r="Q49" s="3" t="s">
        <v>25</v>
      </c>
      <c r="R49" s="3" t="str">
        <f aca="false">TEXT(A49,"YYYY-MM")</f>
        <v>2025-02</v>
      </c>
    </row>
    <row r="50" customFormat="false" ht="15" hidden="false" customHeight="false" outlineLevel="0" collapsed="false">
      <c r="A50" s="2" t="n">
        <v>45705</v>
      </c>
      <c r="B50" s="3" t="s">
        <v>221</v>
      </c>
      <c r="C50" s="3" t="s">
        <v>167</v>
      </c>
      <c r="D50" s="4" t="s">
        <v>168</v>
      </c>
      <c r="E50" s="3" t="s">
        <v>222</v>
      </c>
      <c r="F50" s="4" t="s">
        <v>223</v>
      </c>
      <c r="G50" s="3" t="s">
        <v>201</v>
      </c>
      <c r="H50" s="3" t="s">
        <v>38</v>
      </c>
      <c r="I50" s="5" t="n">
        <v>118</v>
      </c>
      <c r="J50" s="6" t="n">
        <v>17540</v>
      </c>
      <c r="K50" s="7" t="n">
        <f aca="false">I50*J50</f>
        <v>2069720</v>
      </c>
      <c r="L50" s="8" t="n">
        <v>0</v>
      </c>
      <c r="M50" s="7" t="n">
        <f aca="false">K50*(1-L50)</f>
        <v>2069720</v>
      </c>
      <c r="N50" s="8" t="n">
        <v>0.62</v>
      </c>
      <c r="O50" s="7" t="n">
        <f aca="false">M50*N50</f>
        <v>1283226.4</v>
      </c>
      <c r="P50" s="7" t="n">
        <f aca="false">M50-O50</f>
        <v>786493.6</v>
      </c>
      <c r="Q50" s="3" t="s">
        <v>25</v>
      </c>
      <c r="R50" s="3" t="str">
        <f aca="false">TEXT(A50,"YYYY-MM")</f>
        <v>2025-02</v>
      </c>
    </row>
    <row r="51" customFormat="false" ht="15" hidden="false" customHeight="false" outlineLevel="0" collapsed="false">
      <c r="A51" s="2" t="n">
        <v>45705</v>
      </c>
      <c r="B51" s="3" t="s">
        <v>224</v>
      </c>
      <c r="C51" s="3" t="s">
        <v>225</v>
      </c>
      <c r="D51" s="4" t="s">
        <v>226</v>
      </c>
      <c r="E51" s="3" t="s">
        <v>227</v>
      </c>
      <c r="F51" s="4" t="s">
        <v>228</v>
      </c>
      <c r="G51" s="3" t="s">
        <v>31</v>
      </c>
      <c r="H51" s="3" t="s">
        <v>44</v>
      </c>
      <c r="I51" s="5" t="n">
        <v>410</v>
      </c>
      <c r="J51" s="6" t="n">
        <v>5040</v>
      </c>
      <c r="K51" s="7" t="n">
        <f aca="false">I51*J51</f>
        <v>2066400</v>
      </c>
      <c r="L51" s="8" t="n">
        <v>0.056</v>
      </c>
      <c r="M51" s="7" t="n">
        <f aca="false">K51*(1-L51)</f>
        <v>1950681.6</v>
      </c>
      <c r="N51" s="8" t="n">
        <v>0.671</v>
      </c>
      <c r="O51" s="7" t="n">
        <f aca="false">M51*N51</f>
        <v>1308907.3536</v>
      </c>
      <c r="P51" s="7" t="n">
        <f aca="false">M51-O51</f>
        <v>641774.2464</v>
      </c>
      <c r="Q51" s="3" t="s">
        <v>25</v>
      </c>
      <c r="R51" s="3" t="str">
        <f aca="false">TEXT(A51,"YYYY-MM")</f>
        <v>2025-02</v>
      </c>
    </row>
    <row r="52" customFormat="false" ht="15" hidden="false" customHeight="false" outlineLevel="0" collapsed="false">
      <c r="A52" s="2" t="n">
        <v>45706</v>
      </c>
      <c r="B52" s="3" t="s">
        <v>229</v>
      </c>
      <c r="C52" s="3" t="s">
        <v>178</v>
      </c>
      <c r="D52" s="4" t="s">
        <v>179</v>
      </c>
      <c r="E52" s="3" t="s">
        <v>183</v>
      </c>
      <c r="F52" s="4" t="s">
        <v>184</v>
      </c>
      <c r="G52" s="3" t="s">
        <v>31</v>
      </c>
      <c r="H52" s="3" t="s">
        <v>38</v>
      </c>
      <c r="I52" s="5" t="n">
        <v>177</v>
      </c>
      <c r="J52" s="6" t="n">
        <v>8670</v>
      </c>
      <c r="K52" s="7" t="n">
        <f aca="false">I52*J52</f>
        <v>1534590</v>
      </c>
      <c r="L52" s="8" t="n">
        <v>0</v>
      </c>
      <c r="M52" s="7" t="n">
        <f aca="false">K52*(1-L52)</f>
        <v>1534590</v>
      </c>
      <c r="N52" s="8" t="n">
        <v>0.648</v>
      </c>
      <c r="O52" s="7" t="n">
        <f aca="false">M52*N52</f>
        <v>994414.32</v>
      </c>
      <c r="P52" s="7" t="n">
        <f aca="false">M52-O52</f>
        <v>540175.68</v>
      </c>
      <c r="Q52" s="3" t="s">
        <v>25</v>
      </c>
      <c r="R52" s="3" t="str">
        <f aca="false">TEXT(A52,"YYYY-MM")</f>
        <v>2025-02</v>
      </c>
    </row>
    <row r="53" customFormat="false" ht="15" hidden="false" customHeight="false" outlineLevel="0" collapsed="false">
      <c r="A53" s="2" t="n">
        <v>45706</v>
      </c>
      <c r="B53" s="3" t="s">
        <v>230</v>
      </c>
      <c r="C53" s="3" t="s">
        <v>231</v>
      </c>
      <c r="D53" s="4" t="s">
        <v>232</v>
      </c>
      <c r="E53" s="3" t="s">
        <v>233</v>
      </c>
      <c r="F53" s="4" t="s">
        <v>234</v>
      </c>
      <c r="G53" s="3" t="s">
        <v>151</v>
      </c>
      <c r="H53" s="3" t="s">
        <v>24</v>
      </c>
      <c r="I53" s="5" t="n">
        <v>108</v>
      </c>
      <c r="J53" s="6" t="n">
        <v>9190</v>
      </c>
      <c r="K53" s="7" t="n">
        <f aca="false">I53*J53</f>
        <v>992520</v>
      </c>
      <c r="L53" s="8" t="n">
        <v>0</v>
      </c>
      <c r="M53" s="7" t="n">
        <f aca="false">K53*(1-L53)</f>
        <v>992520</v>
      </c>
      <c r="N53" s="8" t="n">
        <v>0.64</v>
      </c>
      <c r="O53" s="7" t="n">
        <f aca="false">M53*N53</f>
        <v>635212.8</v>
      </c>
      <c r="P53" s="7" t="n">
        <f aca="false">M53-O53</f>
        <v>357307.2</v>
      </c>
      <c r="Q53" s="3" t="s">
        <v>25</v>
      </c>
      <c r="R53" s="3" t="str">
        <f aca="false">TEXT(A53,"YYYY-MM")</f>
        <v>2025-02</v>
      </c>
    </row>
    <row r="54" customFormat="false" ht="15" hidden="false" customHeight="false" outlineLevel="0" collapsed="false">
      <c r="A54" s="2" t="n">
        <v>45706</v>
      </c>
      <c r="B54" s="3" t="s">
        <v>235</v>
      </c>
      <c r="C54" s="3" t="s">
        <v>236</v>
      </c>
      <c r="D54" s="4" t="s">
        <v>237</v>
      </c>
      <c r="E54" s="3" t="s">
        <v>238</v>
      </c>
      <c r="F54" s="4" t="s">
        <v>239</v>
      </c>
      <c r="G54" s="3" t="s">
        <v>37</v>
      </c>
      <c r="H54" s="3" t="s">
        <v>24</v>
      </c>
      <c r="I54" s="5" t="n">
        <v>368</v>
      </c>
      <c r="J54" s="6" t="n">
        <v>8480</v>
      </c>
      <c r="K54" s="7" t="n">
        <f aca="false">I54*J54</f>
        <v>3120640</v>
      </c>
      <c r="L54" s="8" t="n">
        <v>0.085</v>
      </c>
      <c r="M54" s="7" t="n">
        <f aca="false">K54*(1-L54)</f>
        <v>2855385.6</v>
      </c>
      <c r="N54" s="8" t="n">
        <v>0.657</v>
      </c>
      <c r="O54" s="7" t="n">
        <f aca="false">M54*N54</f>
        <v>1875988.3392</v>
      </c>
      <c r="P54" s="7" t="n">
        <f aca="false">M54-O54</f>
        <v>979397.2608</v>
      </c>
      <c r="Q54" s="3" t="s">
        <v>25</v>
      </c>
      <c r="R54" s="3" t="str">
        <f aca="false">TEXT(A54,"YYYY-MM")</f>
        <v>2025-02</v>
      </c>
    </row>
    <row r="55" customFormat="false" ht="15" hidden="false" customHeight="false" outlineLevel="0" collapsed="false">
      <c r="A55" s="2" t="n">
        <v>45708</v>
      </c>
      <c r="B55" s="3" t="s">
        <v>240</v>
      </c>
      <c r="C55" s="3" t="s">
        <v>241</v>
      </c>
      <c r="D55" s="4" t="s">
        <v>242</v>
      </c>
      <c r="E55" s="3" t="s">
        <v>58</v>
      </c>
      <c r="F55" s="4" t="s">
        <v>59</v>
      </c>
      <c r="G55" s="3" t="s">
        <v>23</v>
      </c>
      <c r="H55" s="3" t="s">
        <v>38</v>
      </c>
      <c r="I55" s="5" t="n">
        <v>825</v>
      </c>
      <c r="J55" s="6" t="n">
        <v>9910</v>
      </c>
      <c r="K55" s="7" t="n">
        <f aca="false">I55*J55</f>
        <v>8175750</v>
      </c>
      <c r="L55" s="8" t="n">
        <v>0.125</v>
      </c>
      <c r="M55" s="7" t="n">
        <f aca="false">K55*(1-L55)</f>
        <v>7153781.25</v>
      </c>
      <c r="N55" s="8" t="n">
        <v>0.744</v>
      </c>
      <c r="O55" s="7" t="n">
        <f aca="false">M55*N55</f>
        <v>5322413.25</v>
      </c>
      <c r="P55" s="7" t="n">
        <f aca="false">M55-O55</f>
        <v>1831368</v>
      </c>
      <c r="Q55" s="3" t="s">
        <v>25</v>
      </c>
      <c r="R55" s="3" t="str">
        <f aca="false">TEXT(A55,"YYYY-MM")</f>
        <v>2025-02</v>
      </c>
    </row>
    <row r="56" customFormat="false" ht="15" hidden="false" customHeight="false" outlineLevel="0" collapsed="false">
      <c r="A56" s="2" t="n">
        <v>45709</v>
      </c>
      <c r="B56" s="3" t="s">
        <v>243</v>
      </c>
      <c r="C56" s="3" t="s">
        <v>244</v>
      </c>
      <c r="D56" s="4" t="s">
        <v>245</v>
      </c>
      <c r="E56" s="3" t="s">
        <v>246</v>
      </c>
      <c r="F56" s="4" t="s">
        <v>247</v>
      </c>
      <c r="G56" s="3" t="s">
        <v>31</v>
      </c>
      <c r="H56" s="3" t="s">
        <v>44</v>
      </c>
      <c r="I56" s="5" t="n">
        <v>528</v>
      </c>
      <c r="J56" s="6" t="n">
        <v>3180</v>
      </c>
      <c r="K56" s="7" t="n">
        <f aca="false">I56*J56</f>
        <v>1679040</v>
      </c>
      <c r="L56" s="8" t="n">
        <v>0.055</v>
      </c>
      <c r="M56" s="7" t="n">
        <f aca="false">K56*(1-L56)</f>
        <v>1586692.8</v>
      </c>
      <c r="N56" s="8" t="n">
        <v>0.683</v>
      </c>
      <c r="O56" s="7" t="n">
        <f aca="false">M56*N56</f>
        <v>1083711.1824</v>
      </c>
      <c r="P56" s="7" t="n">
        <f aca="false">M56-O56</f>
        <v>502981.6176</v>
      </c>
      <c r="Q56" s="3" t="s">
        <v>25</v>
      </c>
      <c r="R56" s="3" t="str">
        <f aca="false">TEXT(A56,"YYYY-MM")</f>
        <v>2025-02</v>
      </c>
    </row>
    <row r="57" customFormat="false" ht="15" hidden="false" customHeight="false" outlineLevel="0" collapsed="false">
      <c r="A57" s="2" t="n">
        <v>45709</v>
      </c>
      <c r="B57" s="3" t="s">
        <v>248</v>
      </c>
      <c r="C57" s="3" t="s">
        <v>249</v>
      </c>
      <c r="D57" s="4" t="s">
        <v>250</v>
      </c>
      <c r="E57" s="3" t="s">
        <v>86</v>
      </c>
      <c r="F57" s="4" t="s">
        <v>87</v>
      </c>
      <c r="G57" s="3" t="s">
        <v>23</v>
      </c>
      <c r="H57" s="3" t="s">
        <v>44</v>
      </c>
      <c r="I57" s="5" t="n">
        <v>333</v>
      </c>
      <c r="J57" s="6" t="n">
        <v>11620</v>
      </c>
      <c r="K57" s="7" t="n">
        <f aca="false">I57*J57</f>
        <v>3869460</v>
      </c>
      <c r="L57" s="8" t="n">
        <v>0.046</v>
      </c>
      <c r="M57" s="7" t="n">
        <f aca="false">K57*(1-L57)</f>
        <v>3691464.84</v>
      </c>
      <c r="N57" s="8" t="n">
        <v>0.728</v>
      </c>
      <c r="O57" s="7" t="n">
        <f aca="false">M57*N57</f>
        <v>2687386.40352</v>
      </c>
      <c r="P57" s="7" t="n">
        <f aca="false">M57-O57</f>
        <v>1004078.43648</v>
      </c>
      <c r="Q57" s="3" t="s">
        <v>25</v>
      </c>
      <c r="R57" s="3" t="str">
        <f aca="false">TEXT(A57,"YYYY-MM")</f>
        <v>2025-02</v>
      </c>
    </row>
    <row r="58" customFormat="false" ht="15" hidden="false" customHeight="false" outlineLevel="0" collapsed="false">
      <c r="A58" s="2" t="n">
        <v>45711</v>
      </c>
      <c r="B58" s="3" t="s">
        <v>251</v>
      </c>
      <c r="C58" s="3" t="s">
        <v>252</v>
      </c>
      <c r="D58" s="4" t="s">
        <v>253</v>
      </c>
      <c r="E58" s="3" t="s">
        <v>254</v>
      </c>
      <c r="F58" s="4" t="s">
        <v>255</v>
      </c>
      <c r="G58" s="3" t="s">
        <v>31</v>
      </c>
      <c r="H58" s="3" t="s">
        <v>44</v>
      </c>
      <c r="I58" s="5" t="n">
        <v>949</v>
      </c>
      <c r="J58" s="6" t="n">
        <v>3310</v>
      </c>
      <c r="K58" s="7" t="n">
        <f aca="false">I58*J58</f>
        <v>3141190</v>
      </c>
      <c r="L58" s="8" t="n">
        <v>0.103</v>
      </c>
      <c r="M58" s="7" t="n">
        <f aca="false">K58*(1-L58)</f>
        <v>2817647.43</v>
      </c>
      <c r="N58" s="8" t="n">
        <v>0.629</v>
      </c>
      <c r="O58" s="7" t="n">
        <f aca="false">M58*N58</f>
        <v>1772300.23347</v>
      </c>
      <c r="P58" s="7" t="n">
        <f aca="false">M58-O58</f>
        <v>1045347.19653</v>
      </c>
      <c r="Q58" s="3" t="s">
        <v>82</v>
      </c>
      <c r="R58" s="3" t="str">
        <f aca="false">TEXT(A58,"YYYY-MM")</f>
        <v>2025-02</v>
      </c>
    </row>
    <row r="59" customFormat="false" ht="15" hidden="false" customHeight="false" outlineLevel="0" collapsed="false">
      <c r="A59" s="2" t="n">
        <v>45711</v>
      </c>
      <c r="B59" s="3" t="s">
        <v>256</v>
      </c>
      <c r="C59" s="3" t="s">
        <v>257</v>
      </c>
      <c r="D59" s="4" t="s">
        <v>258</v>
      </c>
      <c r="E59" s="3" t="s">
        <v>42</v>
      </c>
      <c r="F59" s="4" t="s">
        <v>43</v>
      </c>
      <c r="G59" s="3" t="s">
        <v>23</v>
      </c>
      <c r="H59" s="3" t="s">
        <v>38</v>
      </c>
      <c r="I59" s="5" t="n">
        <v>449</v>
      </c>
      <c r="J59" s="6" t="n">
        <v>9950</v>
      </c>
      <c r="K59" s="7" t="n">
        <f aca="false">I59*J59</f>
        <v>4467550</v>
      </c>
      <c r="L59" s="8" t="n">
        <v>0.085</v>
      </c>
      <c r="M59" s="7" t="n">
        <f aca="false">K59*(1-L59)</f>
        <v>4087808.25</v>
      </c>
      <c r="N59" s="8" t="n">
        <v>0.671</v>
      </c>
      <c r="O59" s="7" t="n">
        <f aca="false">M59*N59</f>
        <v>2742919.33575</v>
      </c>
      <c r="P59" s="7" t="n">
        <f aca="false">M59-O59</f>
        <v>1344888.91425</v>
      </c>
      <c r="Q59" s="3" t="s">
        <v>25</v>
      </c>
      <c r="R59" s="3" t="str">
        <f aca="false">TEXT(A59,"YYYY-MM")</f>
        <v>2025-02</v>
      </c>
    </row>
    <row r="60" customFormat="false" ht="15" hidden="false" customHeight="false" outlineLevel="0" collapsed="false">
      <c r="A60" s="2" t="n">
        <v>45712</v>
      </c>
      <c r="B60" s="3" t="s">
        <v>259</v>
      </c>
      <c r="C60" s="3" t="s">
        <v>51</v>
      </c>
      <c r="D60" s="4" t="s">
        <v>52</v>
      </c>
      <c r="E60" s="3" t="s">
        <v>260</v>
      </c>
      <c r="F60" s="4" t="s">
        <v>261</v>
      </c>
      <c r="G60" s="3" t="s">
        <v>23</v>
      </c>
      <c r="H60" s="3" t="s">
        <v>44</v>
      </c>
      <c r="I60" s="5" t="n">
        <v>860</v>
      </c>
      <c r="J60" s="6" t="n">
        <v>4230</v>
      </c>
      <c r="K60" s="7" t="n">
        <f aca="false">I60*J60</f>
        <v>3637800</v>
      </c>
      <c r="L60" s="8" t="n">
        <v>0.1</v>
      </c>
      <c r="M60" s="7" t="n">
        <f aca="false">K60*(1-L60)</f>
        <v>3274020</v>
      </c>
      <c r="N60" s="8" t="n">
        <v>0.601</v>
      </c>
      <c r="O60" s="7" t="n">
        <f aca="false">M60*N60</f>
        <v>1967686.02</v>
      </c>
      <c r="P60" s="7" t="n">
        <f aca="false">M60-O60</f>
        <v>1306333.98</v>
      </c>
      <c r="Q60" s="3" t="s">
        <v>25</v>
      </c>
      <c r="R60" s="3" t="str">
        <f aca="false">TEXT(A60,"YYYY-MM")</f>
        <v>2025-02</v>
      </c>
    </row>
    <row r="61" customFormat="false" ht="15" hidden="false" customHeight="false" outlineLevel="0" collapsed="false">
      <c r="A61" s="2" t="n">
        <v>45712</v>
      </c>
      <c r="B61" s="3" t="s">
        <v>262</v>
      </c>
      <c r="C61" s="3" t="s">
        <v>66</v>
      </c>
      <c r="D61" s="4" t="s">
        <v>67</v>
      </c>
      <c r="E61" s="3" t="s">
        <v>246</v>
      </c>
      <c r="F61" s="4" t="s">
        <v>247</v>
      </c>
      <c r="G61" s="3" t="s">
        <v>31</v>
      </c>
      <c r="H61" s="3" t="s">
        <v>44</v>
      </c>
      <c r="I61" s="5" t="n">
        <v>621</v>
      </c>
      <c r="J61" s="6" t="n">
        <v>3180</v>
      </c>
      <c r="K61" s="7" t="n">
        <f aca="false">I61*J61</f>
        <v>1974780</v>
      </c>
      <c r="L61" s="8" t="n">
        <v>0.148</v>
      </c>
      <c r="M61" s="7" t="n">
        <f aca="false">K61*(1-L61)</f>
        <v>1682512.56</v>
      </c>
      <c r="N61" s="8" t="n">
        <v>0.646</v>
      </c>
      <c r="O61" s="7" t="n">
        <f aca="false">M61*N61</f>
        <v>1086903.11376</v>
      </c>
      <c r="P61" s="7" t="n">
        <f aca="false">M61-O61</f>
        <v>595609.44624</v>
      </c>
      <c r="Q61" s="3" t="s">
        <v>25</v>
      </c>
      <c r="R61" s="3" t="str">
        <f aca="false">TEXT(A61,"YYYY-MM")</f>
        <v>2025-02</v>
      </c>
    </row>
    <row r="62" customFormat="false" ht="15" hidden="false" customHeight="false" outlineLevel="0" collapsed="false">
      <c r="A62" s="2" t="n">
        <v>45714</v>
      </c>
      <c r="B62" s="3" t="s">
        <v>263</v>
      </c>
      <c r="C62" s="3" t="s">
        <v>203</v>
      </c>
      <c r="D62" s="4" t="s">
        <v>204</v>
      </c>
      <c r="E62" s="3" t="s">
        <v>264</v>
      </c>
      <c r="F62" s="4" t="s">
        <v>265</v>
      </c>
      <c r="G62" s="3" t="s">
        <v>23</v>
      </c>
      <c r="H62" s="3" t="s">
        <v>24</v>
      </c>
      <c r="I62" s="5" t="n">
        <v>239</v>
      </c>
      <c r="J62" s="6" t="n">
        <v>14480</v>
      </c>
      <c r="K62" s="7" t="n">
        <f aca="false">I62*J62</f>
        <v>3460720</v>
      </c>
      <c r="L62" s="8" t="n">
        <v>0.037</v>
      </c>
      <c r="M62" s="7" t="n">
        <f aca="false">K62*(1-L62)</f>
        <v>3332673.36</v>
      </c>
      <c r="N62" s="8" t="n">
        <v>0.627</v>
      </c>
      <c r="O62" s="7" t="n">
        <f aca="false">M62*N62</f>
        <v>2089586.19672</v>
      </c>
      <c r="P62" s="7" t="n">
        <f aca="false">M62-O62</f>
        <v>1243087.16328</v>
      </c>
      <c r="Q62" s="3" t="s">
        <v>25</v>
      </c>
      <c r="R62" s="3" t="str">
        <f aca="false">TEXT(A62,"YYYY-MM")</f>
        <v>2025-02</v>
      </c>
    </row>
    <row r="63" customFormat="false" ht="15" hidden="false" customHeight="false" outlineLevel="0" collapsed="false">
      <c r="A63" s="2" t="n">
        <v>45714</v>
      </c>
      <c r="B63" s="3" t="s">
        <v>266</v>
      </c>
      <c r="C63" s="3" t="s">
        <v>267</v>
      </c>
      <c r="D63" s="4" t="s">
        <v>268</v>
      </c>
      <c r="E63" s="3" t="s">
        <v>269</v>
      </c>
      <c r="F63" s="4" t="s">
        <v>270</v>
      </c>
      <c r="G63" s="3" t="s">
        <v>31</v>
      </c>
      <c r="H63" s="3" t="s">
        <v>24</v>
      </c>
      <c r="I63" s="5" t="n">
        <v>861</v>
      </c>
      <c r="J63" s="6" t="n">
        <v>5790</v>
      </c>
      <c r="K63" s="7" t="n">
        <f aca="false">I63*J63</f>
        <v>4985190</v>
      </c>
      <c r="L63" s="8" t="n">
        <v>0.115</v>
      </c>
      <c r="M63" s="7" t="n">
        <f aca="false">K63*(1-L63)</f>
        <v>4411893.15</v>
      </c>
      <c r="N63" s="8" t="n">
        <v>0.672</v>
      </c>
      <c r="O63" s="7" t="n">
        <f aca="false">M63*N63</f>
        <v>2964792.1968</v>
      </c>
      <c r="P63" s="7" t="n">
        <f aca="false">M63-O63</f>
        <v>1447100.9532</v>
      </c>
      <c r="Q63" s="3" t="s">
        <v>25</v>
      </c>
      <c r="R63" s="3" t="str">
        <f aca="false">TEXT(A63,"YYYY-MM")</f>
        <v>2025-02</v>
      </c>
    </row>
    <row r="64" customFormat="false" ht="15" hidden="false" customHeight="false" outlineLevel="0" collapsed="false">
      <c r="A64" s="2" t="n">
        <v>45714</v>
      </c>
      <c r="B64" s="3" t="s">
        <v>271</v>
      </c>
      <c r="C64" s="3" t="s">
        <v>272</v>
      </c>
      <c r="D64" s="4" t="s">
        <v>273</v>
      </c>
      <c r="E64" s="3" t="s">
        <v>274</v>
      </c>
      <c r="F64" s="4" t="s">
        <v>275</v>
      </c>
      <c r="G64" s="3" t="s">
        <v>31</v>
      </c>
      <c r="H64" s="3" t="s">
        <v>38</v>
      </c>
      <c r="I64" s="5" t="n">
        <v>156</v>
      </c>
      <c r="J64" s="6" t="n">
        <v>9280</v>
      </c>
      <c r="K64" s="7" t="n">
        <f aca="false">I64*J64</f>
        <v>1447680</v>
      </c>
      <c r="L64" s="8" t="n">
        <v>0</v>
      </c>
      <c r="M64" s="7" t="n">
        <f aca="false">K64*(1-L64)</f>
        <v>1447680</v>
      </c>
      <c r="N64" s="8" t="n">
        <v>0.662</v>
      </c>
      <c r="O64" s="7" t="n">
        <f aca="false">M64*N64</f>
        <v>958364.16</v>
      </c>
      <c r="P64" s="7" t="n">
        <f aca="false">M64-O64</f>
        <v>489315.84</v>
      </c>
      <c r="Q64" s="3" t="s">
        <v>25</v>
      </c>
      <c r="R64" s="3" t="str">
        <f aca="false">TEXT(A64,"YYYY-MM")</f>
        <v>2025-02</v>
      </c>
    </row>
    <row r="65" customFormat="false" ht="15" hidden="false" customHeight="false" outlineLevel="0" collapsed="false">
      <c r="A65" s="2" t="n">
        <v>45715</v>
      </c>
      <c r="B65" s="3" t="s">
        <v>276</v>
      </c>
      <c r="C65" s="3" t="s">
        <v>277</v>
      </c>
      <c r="D65" s="4" t="s">
        <v>278</v>
      </c>
      <c r="E65" s="3" t="s">
        <v>94</v>
      </c>
      <c r="F65" s="4" t="s">
        <v>95</v>
      </c>
      <c r="G65" s="3" t="s">
        <v>31</v>
      </c>
      <c r="H65" s="3" t="s">
        <v>24</v>
      </c>
      <c r="I65" s="5" t="n">
        <v>587</v>
      </c>
      <c r="J65" s="6" t="n">
        <v>2860</v>
      </c>
      <c r="K65" s="7" t="n">
        <f aca="false">I65*J65</f>
        <v>1678820</v>
      </c>
      <c r="L65" s="8" t="n">
        <v>0.048</v>
      </c>
      <c r="M65" s="7" t="n">
        <f aca="false">K65*(1-L65)</f>
        <v>1598236.64</v>
      </c>
      <c r="N65" s="8" t="n">
        <v>0.706</v>
      </c>
      <c r="O65" s="7" t="n">
        <f aca="false">M65*N65</f>
        <v>1128355.06784</v>
      </c>
      <c r="P65" s="7" t="n">
        <f aca="false">M65-O65</f>
        <v>469881.57216</v>
      </c>
      <c r="Q65" s="3" t="s">
        <v>25</v>
      </c>
      <c r="R65" s="3" t="str">
        <f aca="false">TEXT(A65,"YYYY-MM")</f>
        <v>2025-02</v>
      </c>
    </row>
    <row r="66" customFormat="false" ht="15" hidden="false" customHeight="false" outlineLevel="0" collapsed="false">
      <c r="A66" s="2" t="n">
        <v>45716</v>
      </c>
      <c r="B66" s="3" t="s">
        <v>279</v>
      </c>
      <c r="C66" s="3" t="s">
        <v>147</v>
      </c>
      <c r="D66" s="4" t="s">
        <v>148</v>
      </c>
      <c r="E66" s="3" t="s">
        <v>211</v>
      </c>
      <c r="F66" s="4" t="s">
        <v>212</v>
      </c>
      <c r="G66" s="3" t="s">
        <v>23</v>
      </c>
      <c r="H66" s="3" t="s">
        <v>44</v>
      </c>
      <c r="I66" s="5" t="n">
        <v>935</v>
      </c>
      <c r="J66" s="6" t="n">
        <v>13150</v>
      </c>
      <c r="K66" s="7" t="n">
        <f aca="false">I66*J66</f>
        <v>12295250</v>
      </c>
      <c r="L66" s="8" t="n">
        <v>0.113</v>
      </c>
      <c r="M66" s="7" t="n">
        <f aca="false">K66*(1-L66)</f>
        <v>10905886.75</v>
      </c>
      <c r="N66" s="8" t="n">
        <v>0.653</v>
      </c>
      <c r="O66" s="7" t="n">
        <f aca="false">M66*N66</f>
        <v>7121544.04775</v>
      </c>
      <c r="P66" s="7" t="n">
        <f aca="false">M66-O66</f>
        <v>3784342.70225</v>
      </c>
      <c r="Q66" s="3" t="s">
        <v>25</v>
      </c>
      <c r="R66" s="3" t="str">
        <f aca="false">TEXT(A66,"YYYY-MM")</f>
        <v>2025-02</v>
      </c>
    </row>
    <row r="67" customFormat="false" ht="15" hidden="false" customHeight="false" outlineLevel="0" collapsed="false">
      <c r="A67" s="2" t="n">
        <v>45717</v>
      </c>
      <c r="B67" s="3" t="s">
        <v>280</v>
      </c>
      <c r="C67" s="3" t="s">
        <v>128</v>
      </c>
      <c r="D67" s="4" t="s">
        <v>129</v>
      </c>
      <c r="E67" s="3" t="s">
        <v>281</v>
      </c>
      <c r="F67" s="4" t="s">
        <v>282</v>
      </c>
      <c r="G67" s="3" t="s">
        <v>23</v>
      </c>
      <c r="H67" s="3" t="s">
        <v>38</v>
      </c>
      <c r="I67" s="5" t="n">
        <v>578</v>
      </c>
      <c r="J67" s="6" t="n">
        <v>4850</v>
      </c>
      <c r="K67" s="7" t="n">
        <f aca="false">I67*J67</f>
        <v>2803300</v>
      </c>
      <c r="L67" s="8" t="n">
        <v>0.047</v>
      </c>
      <c r="M67" s="7" t="n">
        <f aca="false">K67*(1-L67)</f>
        <v>2671544.9</v>
      </c>
      <c r="N67" s="8" t="n">
        <v>0.607</v>
      </c>
      <c r="O67" s="7" t="n">
        <f aca="false">M67*N67</f>
        <v>1621627.7543</v>
      </c>
      <c r="P67" s="7" t="n">
        <f aca="false">M67-O67</f>
        <v>1049917.1457</v>
      </c>
      <c r="Q67" s="3" t="s">
        <v>25</v>
      </c>
      <c r="R67" s="3" t="str">
        <f aca="false">TEXT(A67,"YYYY-MM")</f>
        <v>2025-03</v>
      </c>
    </row>
    <row r="68" customFormat="false" ht="15" hidden="false" customHeight="false" outlineLevel="0" collapsed="false">
      <c r="A68" s="2" t="n">
        <v>45720</v>
      </c>
      <c r="B68" s="3" t="s">
        <v>283</v>
      </c>
      <c r="C68" s="3" t="s">
        <v>284</v>
      </c>
      <c r="D68" s="4" t="s">
        <v>285</v>
      </c>
      <c r="E68" s="3" t="s">
        <v>286</v>
      </c>
      <c r="F68" s="4" t="s">
        <v>287</v>
      </c>
      <c r="G68" s="3" t="s">
        <v>23</v>
      </c>
      <c r="H68" s="3" t="s">
        <v>44</v>
      </c>
      <c r="I68" s="5" t="n">
        <v>472</v>
      </c>
      <c r="J68" s="6" t="n">
        <v>4060</v>
      </c>
      <c r="K68" s="7" t="n">
        <f aca="false">I68*J68</f>
        <v>1916320</v>
      </c>
      <c r="L68" s="8" t="n">
        <v>0.051</v>
      </c>
      <c r="M68" s="7" t="n">
        <f aca="false">K68*(1-L68)</f>
        <v>1818587.68</v>
      </c>
      <c r="N68" s="8" t="n">
        <v>0.607</v>
      </c>
      <c r="O68" s="7" t="n">
        <f aca="false">M68*N68</f>
        <v>1103882.72176</v>
      </c>
      <c r="P68" s="7" t="n">
        <f aca="false">M68-O68</f>
        <v>714704.95824</v>
      </c>
      <c r="Q68" s="3" t="s">
        <v>25</v>
      </c>
      <c r="R68" s="3" t="str">
        <f aca="false">TEXT(A68,"YYYY-MM")</f>
        <v>2025-03</v>
      </c>
    </row>
    <row r="69" customFormat="false" ht="15" hidden="false" customHeight="false" outlineLevel="0" collapsed="false">
      <c r="A69" s="2" t="n">
        <v>45721</v>
      </c>
      <c r="B69" s="3" t="s">
        <v>288</v>
      </c>
      <c r="C69" s="3" t="s">
        <v>289</v>
      </c>
      <c r="D69" s="4" t="s">
        <v>47</v>
      </c>
      <c r="E69" s="3" t="s">
        <v>290</v>
      </c>
      <c r="F69" s="4" t="s">
        <v>291</v>
      </c>
      <c r="G69" s="3" t="s">
        <v>23</v>
      </c>
      <c r="H69" s="3" t="s">
        <v>44</v>
      </c>
      <c r="I69" s="5" t="n">
        <v>631</v>
      </c>
      <c r="J69" s="6" t="n">
        <v>15430</v>
      </c>
      <c r="K69" s="7" t="n">
        <f aca="false">I69*J69</f>
        <v>9736330</v>
      </c>
      <c r="L69" s="8" t="n">
        <v>0.102</v>
      </c>
      <c r="M69" s="7" t="n">
        <f aca="false">K69*(1-L69)</f>
        <v>8743224.34</v>
      </c>
      <c r="N69" s="8" t="n">
        <v>0.683</v>
      </c>
      <c r="O69" s="7" t="n">
        <f aca="false">M69*N69</f>
        <v>5971622.22422</v>
      </c>
      <c r="P69" s="7" t="n">
        <f aca="false">M69-O69</f>
        <v>2771602.11578</v>
      </c>
      <c r="Q69" s="3" t="s">
        <v>155</v>
      </c>
      <c r="R69" s="3" t="str">
        <f aca="false">TEXT(A69,"YYYY-MM")</f>
        <v>2025-03</v>
      </c>
    </row>
    <row r="70" customFormat="false" ht="15" hidden="false" customHeight="false" outlineLevel="0" collapsed="false">
      <c r="A70" s="2" t="n">
        <v>45721</v>
      </c>
      <c r="B70" s="3" t="s">
        <v>292</v>
      </c>
      <c r="C70" s="3" t="s">
        <v>293</v>
      </c>
      <c r="D70" s="4" t="s">
        <v>294</v>
      </c>
      <c r="E70" s="3" t="s">
        <v>295</v>
      </c>
      <c r="F70" s="4" t="s">
        <v>296</v>
      </c>
      <c r="G70" s="3" t="s">
        <v>23</v>
      </c>
      <c r="H70" s="3" t="s">
        <v>44</v>
      </c>
      <c r="I70" s="5" t="n">
        <v>524</v>
      </c>
      <c r="J70" s="6" t="n">
        <v>7380</v>
      </c>
      <c r="K70" s="7" t="n">
        <f aca="false">I70*J70</f>
        <v>3867120</v>
      </c>
      <c r="L70" s="8" t="n">
        <v>0.084</v>
      </c>
      <c r="M70" s="7" t="n">
        <f aca="false">K70*(1-L70)</f>
        <v>3542281.92</v>
      </c>
      <c r="N70" s="8" t="n">
        <v>0.669</v>
      </c>
      <c r="O70" s="7" t="n">
        <f aca="false">M70*N70</f>
        <v>2369786.60448</v>
      </c>
      <c r="P70" s="7" t="n">
        <f aca="false">M70-O70</f>
        <v>1172495.31552</v>
      </c>
      <c r="Q70" s="3" t="s">
        <v>25</v>
      </c>
      <c r="R70" s="3" t="str">
        <f aca="false">TEXT(A70,"YYYY-MM")</f>
        <v>2025-03</v>
      </c>
    </row>
    <row r="71" customFormat="false" ht="15" hidden="false" customHeight="false" outlineLevel="0" collapsed="false">
      <c r="A71" s="2" t="n">
        <v>45722</v>
      </c>
      <c r="B71" s="3" t="s">
        <v>297</v>
      </c>
      <c r="C71" s="3" t="s">
        <v>298</v>
      </c>
      <c r="D71" s="4" t="s">
        <v>299</v>
      </c>
      <c r="E71" s="3" t="s">
        <v>300</v>
      </c>
      <c r="F71" s="4" t="s">
        <v>301</v>
      </c>
      <c r="G71" s="3" t="s">
        <v>31</v>
      </c>
      <c r="H71" s="3" t="s">
        <v>38</v>
      </c>
      <c r="I71" s="5" t="n">
        <v>23</v>
      </c>
      <c r="J71" s="6" t="n">
        <v>2020</v>
      </c>
      <c r="K71" s="7" t="n">
        <f aca="false">I71*J71</f>
        <v>46460</v>
      </c>
      <c r="L71" s="8" t="n">
        <v>0</v>
      </c>
      <c r="M71" s="7" t="n">
        <f aca="false">K71*(1-L71)</f>
        <v>46460</v>
      </c>
      <c r="N71" s="8" t="n">
        <v>0.644</v>
      </c>
      <c r="O71" s="7" t="n">
        <f aca="false">M71*N71</f>
        <v>29920.24</v>
      </c>
      <c r="P71" s="7" t="n">
        <f aca="false">M71-O71</f>
        <v>16539.76</v>
      </c>
      <c r="Q71" s="3" t="s">
        <v>25</v>
      </c>
      <c r="R71" s="3" t="str">
        <f aca="false">TEXT(A71,"YYYY-MM")</f>
        <v>2025-03</v>
      </c>
    </row>
    <row r="72" customFormat="false" ht="15" hidden="false" customHeight="false" outlineLevel="0" collapsed="false">
      <c r="A72" s="2" t="n">
        <v>45722</v>
      </c>
      <c r="B72" s="3" t="s">
        <v>302</v>
      </c>
      <c r="C72" s="3" t="s">
        <v>303</v>
      </c>
      <c r="D72" s="4" t="s">
        <v>258</v>
      </c>
      <c r="E72" s="3" t="s">
        <v>304</v>
      </c>
      <c r="F72" s="4" t="s">
        <v>305</v>
      </c>
      <c r="G72" s="3" t="s">
        <v>31</v>
      </c>
      <c r="H72" s="3" t="s">
        <v>38</v>
      </c>
      <c r="I72" s="5" t="n">
        <v>316</v>
      </c>
      <c r="J72" s="6" t="n">
        <v>5340</v>
      </c>
      <c r="K72" s="7" t="n">
        <f aca="false">I72*J72</f>
        <v>1687440</v>
      </c>
      <c r="L72" s="8" t="n">
        <v>0.077</v>
      </c>
      <c r="M72" s="7" t="n">
        <f aca="false">K72*(1-L72)</f>
        <v>1557507.12</v>
      </c>
      <c r="N72" s="8" t="n">
        <v>0.645</v>
      </c>
      <c r="O72" s="7" t="n">
        <f aca="false">M72*N72</f>
        <v>1004592.0924</v>
      </c>
      <c r="P72" s="7" t="n">
        <f aca="false">M72-O72</f>
        <v>552915.0276</v>
      </c>
      <c r="Q72" s="3" t="s">
        <v>25</v>
      </c>
      <c r="R72" s="3" t="str">
        <f aca="false">TEXT(A72,"YYYY-MM")</f>
        <v>2025-03</v>
      </c>
    </row>
    <row r="73" customFormat="false" ht="15" hidden="false" customHeight="false" outlineLevel="0" collapsed="false">
      <c r="A73" s="2" t="n">
        <v>45724</v>
      </c>
      <c r="B73" s="3" t="s">
        <v>306</v>
      </c>
      <c r="C73" s="3" t="s">
        <v>252</v>
      </c>
      <c r="D73" s="4" t="s">
        <v>253</v>
      </c>
      <c r="E73" s="3" t="s">
        <v>307</v>
      </c>
      <c r="F73" s="4" t="s">
        <v>308</v>
      </c>
      <c r="G73" s="3" t="s">
        <v>201</v>
      </c>
      <c r="H73" s="3" t="s">
        <v>44</v>
      </c>
      <c r="I73" s="5" t="n">
        <v>183</v>
      </c>
      <c r="J73" s="6" t="n">
        <v>17840</v>
      </c>
      <c r="K73" s="7" t="n">
        <f aca="false">I73*J73</f>
        <v>3264720</v>
      </c>
      <c r="L73" s="8" t="n">
        <v>0.018</v>
      </c>
      <c r="M73" s="7" t="n">
        <f aca="false">K73*(1-L73)</f>
        <v>3205955.04</v>
      </c>
      <c r="N73" s="8" t="n">
        <v>0.632</v>
      </c>
      <c r="O73" s="7" t="n">
        <f aca="false">M73*N73</f>
        <v>2026163.58528</v>
      </c>
      <c r="P73" s="7" t="n">
        <f aca="false">M73-O73</f>
        <v>1179791.45472</v>
      </c>
      <c r="Q73" s="3" t="s">
        <v>25</v>
      </c>
      <c r="R73" s="3" t="str">
        <f aca="false">TEXT(A73,"YYYY-MM")</f>
        <v>2025-03</v>
      </c>
    </row>
    <row r="74" customFormat="false" ht="15" hidden="false" customHeight="false" outlineLevel="0" collapsed="false">
      <c r="A74" s="2" t="n">
        <v>45724</v>
      </c>
      <c r="B74" s="3" t="s">
        <v>309</v>
      </c>
      <c r="C74" s="3" t="s">
        <v>310</v>
      </c>
      <c r="D74" s="4" t="s">
        <v>250</v>
      </c>
      <c r="E74" s="3" t="s">
        <v>102</v>
      </c>
      <c r="F74" s="4" t="s">
        <v>103</v>
      </c>
      <c r="G74" s="3" t="s">
        <v>31</v>
      </c>
      <c r="H74" s="3" t="s">
        <v>44</v>
      </c>
      <c r="I74" s="5" t="n">
        <v>451</v>
      </c>
      <c r="J74" s="6" t="n">
        <v>1770</v>
      </c>
      <c r="K74" s="7" t="n">
        <f aca="false">I74*J74</f>
        <v>798270</v>
      </c>
      <c r="L74" s="8" t="n">
        <v>0.084</v>
      </c>
      <c r="M74" s="7" t="n">
        <f aca="false">K74*(1-L74)</f>
        <v>731215.32</v>
      </c>
      <c r="N74" s="8" t="n">
        <v>0.7</v>
      </c>
      <c r="O74" s="7" t="n">
        <f aca="false">M74*N74</f>
        <v>511850.724</v>
      </c>
      <c r="P74" s="7" t="n">
        <f aca="false">M74-O74</f>
        <v>219364.596</v>
      </c>
      <c r="Q74" s="3" t="s">
        <v>25</v>
      </c>
      <c r="R74" s="3" t="str">
        <f aca="false">TEXT(A74,"YYYY-MM")</f>
        <v>2025-03</v>
      </c>
    </row>
    <row r="75" customFormat="false" ht="15" hidden="false" customHeight="false" outlineLevel="0" collapsed="false">
      <c r="A75" s="2" t="n">
        <v>45725</v>
      </c>
      <c r="B75" s="3" t="s">
        <v>311</v>
      </c>
      <c r="C75" s="3" t="s">
        <v>312</v>
      </c>
      <c r="D75" s="4" t="s">
        <v>98</v>
      </c>
      <c r="E75" s="3" t="s">
        <v>313</v>
      </c>
      <c r="F75" s="4" t="s">
        <v>314</v>
      </c>
      <c r="G75" s="3" t="s">
        <v>23</v>
      </c>
      <c r="H75" s="3" t="s">
        <v>44</v>
      </c>
      <c r="I75" s="5" t="n">
        <v>998</v>
      </c>
      <c r="J75" s="6" t="n">
        <v>14020</v>
      </c>
      <c r="K75" s="7" t="n">
        <f aca="false">I75*J75</f>
        <v>13991960</v>
      </c>
      <c r="L75" s="8" t="n">
        <v>0.085</v>
      </c>
      <c r="M75" s="7" t="n">
        <f aca="false">K75*(1-L75)</f>
        <v>12802643.4</v>
      </c>
      <c r="N75" s="8" t="n">
        <v>0.62</v>
      </c>
      <c r="O75" s="7" t="n">
        <f aca="false">M75*N75</f>
        <v>7937638.908</v>
      </c>
      <c r="P75" s="7" t="n">
        <f aca="false">M75-O75</f>
        <v>4865004.492</v>
      </c>
      <c r="Q75" s="3" t="s">
        <v>25</v>
      </c>
      <c r="R75" s="3" t="str">
        <f aca="false">TEXT(A75,"YYYY-MM")</f>
        <v>2025-03</v>
      </c>
    </row>
    <row r="76" customFormat="false" ht="15" hidden="false" customHeight="false" outlineLevel="0" collapsed="false">
      <c r="A76" s="2" t="n">
        <v>45726</v>
      </c>
      <c r="B76" s="3" t="s">
        <v>315</v>
      </c>
      <c r="C76" s="3" t="s">
        <v>194</v>
      </c>
      <c r="D76" s="4" t="s">
        <v>195</v>
      </c>
      <c r="E76" s="3" t="s">
        <v>316</v>
      </c>
      <c r="F76" s="4" t="s">
        <v>317</v>
      </c>
      <c r="G76" s="3" t="s">
        <v>31</v>
      </c>
      <c r="H76" s="3" t="s">
        <v>38</v>
      </c>
      <c r="I76" s="5" t="n">
        <v>185</v>
      </c>
      <c r="J76" s="6" t="n">
        <v>8250</v>
      </c>
      <c r="K76" s="7" t="n">
        <f aca="false">I76*J76</f>
        <v>1526250</v>
      </c>
      <c r="L76" s="8" t="n">
        <v>0.011</v>
      </c>
      <c r="M76" s="7" t="n">
        <f aca="false">K76*(1-L76)</f>
        <v>1509461.25</v>
      </c>
      <c r="N76" s="8" t="n">
        <v>0.731</v>
      </c>
      <c r="O76" s="7" t="n">
        <f aca="false">M76*N76</f>
        <v>1103416.17375</v>
      </c>
      <c r="P76" s="7" t="n">
        <f aca="false">M76-O76</f>
        <v>406045.07625</v>
      </c>
      <c r="Q76" s="3" t="s">
        <v>25</v>
      </c>
      <c r="R76" s="3" t="str">
        <f aca="false">TEXT(A76,"YYYY-MM")</f>
        <v>2025-03</v>
      </c>
    </row>
    <row r="77" customFormat="false" ht="15" hidden="false" customHeight="false" outlineLevel="0" collapsed="false">
      <c r="A77" s="2" t="n">
        <v>45728</v>
      </c>
      <c r="B77" s="3" t="s">
        <v>318</v>
      </c>
      <c r="C77" s="3" t="s">
        <v>319</v>
      </c>
      <c r="D77" s="4" t="s">
        <v>320</v>
      </c>
      <c r="E77" s="3" t="s">
        <v>321</v>
      </c>
      <c r="F77" s="4" t="s">
        <v>322</v>
      </c>
      <c r="G77" s="3" t="s">
        <v>201</v>
      </c>
      <c r="H77" s="3" t="s">
        <v>38</v>
      </c>
      <c r="I77" s="5" t="n">
        <v>151</v>
      </c>
      <c r="J77" s="6" t="n">
        <v>14770</v>
      </c>
      <c r="K77" s="7" t="n">
        <f aca="false">I77*J77</f>
        <v>2230270</v>
      </c>
      <c r="L77" s="8" t="n">
        <v>0</v>
      </c>
      <c r="M77" s="7" t="n">
        <f aca="false">K77*(1-L77)</f>
        <v>2230270</v>
      </c>
      <c r="N77" s="8" t="n">
        <v>0.622</v>
      </c>
      <c r="O77" s="7" t="n">
        <f aca="false">M77*N77</f>
        <v>1387227.94</v>
      </c>
      <c r="P77" s="7" t="n">
        <f aca="false">M77-O77</f>
        <v>843042.06</v>
      </c>
      <c r="Q77" s="3" t="s">
        <v>25</v>
      </c>
      <c r="R77" s="3" t="str">
        <f aca="false">TEXT(A77,"YYYY-MM")</f>
        <v>2025-03</v>
      </c>
    </row>
    <row r="78" customFormat="false" ht="15" hidden="false" customHeight="false" outlineLevel="0" collapsed="false">
      <c r="A78" s="2" t="n">
        <v>45729</v>
      </c>
      <c r="B78" s="3" t="s">
        <v>323</v>
      </c>
      <c r="C78" s="3" t="s">
        <v>324</v>
      </c>
      <c r="D78" s="4" t="s">
        <v>325</v>
      </c>
      <c r="E78" s="3" t="s">
        <v>326</v>
      </c>
      <c r="F78" s="4" t="s">
        <v>327</v>
      </c>
      <c r="G78" s="3" t="s">
        <v>31</v>
      </c>
      <c r="H78" s="3" t="s">
        <v>44</v>
      </c>
      <c r="I78" s="5" t="n">
        <v>661</v>
      </c>
      <c r="J78" s="6" t="n">
        <v>6290</v>
      </c>
      <c r="K78" s="7" t="n">
        <f aca="false">I78*J78</f>
        <v>4157690</v>
      </c>
      <c r="L78" s="8" t="n">
        <v>0.088</v>
      </c>
      <c r="M78" s="7" t="n">
        <f aca="false">K78*(1-L78)</f>
        <v>3791813.28</v>
      </c>
      <c r="N78" s="8" t="n">
        <v>0.708</v>
      </c>
      <c r="O78" s="7" t="n">
        <f aca="false">M78*N78</f>
        <v>2684603.80224</v>
      </c>
      <c r="P78" s="7" t="n">
        <f aca="false">M78-O78</f>
        <v>1107209.47776</v>
      </c>
      <c r="Q78" s="3" t="s">
        <v>25</v>
      </c>
      <c r="R78" s="3" t="str">
        <f aca="false">TEXT(A78,"YYYY-MM")</f>
        <v>2025-03</v>
      </c>
    </row>
    <row r="79" customFormat="false" ht="15" hidden="false" customHeight="false" outlineLevel="0" collapsed="false">
      <c r="A79" s="2" t="n">
        <v>45730</v>
      </c>
      <c r="B79" s="3" t="s">
        <v>328</v>
      </c>
      <c r="C79" s="3" t="s">
        <v>203</v>
      </c>
      <c r="D79" s="4" t="s">
        <v>204</v>
      </c>
      <c r="E79" s="3" t="s">
        <v>94</v>
      </c>
      <c r="F79" s="4" t="s">
        <v>95</v>
      </c>
      <c r="G79" s="3" t="s">
        <v>31</v>
      </c>
      <c r="H79" s="3" t="s">
        <v>24</v>
      </c>
      <c r="I79" s="5" t="n">
        <v>365</v>
      </c>
      <c r="J79" s="6" t="n">
        <v>2860</v>
      </c>
      <c r="K79" s="7" t="n">
        <f aca="false">I79*J79</f>
        <v>1043900</v>
      </c>
      <c r="L79" s="8" t="n">
        <v>0.048</v>
      </c>
      <c r="M79" s="7" t="n">
        <f aca="false">K79*(1-L79)</f>
        <v>993792.8</v>
      </c>
      <c r="N79" s="8" t="n">
        <v>0.711</v>
      </c>
      <c r="O79" s="7" t="n">
        <f aca="false">M79*N79</f>
        <v>706586.6808</v>
      </c>
      <c r="P79" s="7" t="n">
        <f aca="false">M79-O79</f>
        <v>287206.1192</v>
      </c>
      <c r="Q79" s="3" t="s">
        <v>25</v>
      </c>
      <c r="R79" s="3" t="str">
        <f aca="false">TEXT(A79,"YYYY-MM")</f>
        <v>2025-03</v>
      </c>
    </row>
    <row r="80" customFormat="false" ht="15" hidden="false" customHeight="false" outlineLevel="0" collapsed="false">
      <c r="A80" s="2" t="n">
        <v>45731</v>
      </c>
      <c r="B80" s="3" t="s">
        <v>329</v>
      </c>
      <c r="C80" s="3" t="s">
        <v>161</v>
      </c>
      <c r="D80" s="4" t="s">
        <v>162</v>
      </c>
      <c r="E80" s="3" t="s">
        <v>264</v>
      </c>
      <c r="F80" s="4" t="s">
        <v>265</v>
      </c>
      <c r="G80" s="3" t="s">
        <v>23</v>
      </c>
      <c r="H80" s="3" t="s">
        <v>24</v>
      </c>
      <c r="I80" s="5" t="n">
        <v>369</v>
      </c>
      <c r="J80" s="6" t="n">
        <v>14480</v>
      </c>
      <c r="K80" s="7" t="n">
        <f aca="false">I80*J80</f>
        <v>5343120</v>
      </c>
      <c r="L80" s="8" t="n">
        <v>0.048</v>
      </c>
      <c r="M80" s="7" t="n">
        <f aca="false">K80*(1-L80)</f>
        <v>5086650.24</v>
      </c>
      <c r="N80" s="8" t="n">
        <v>0.625</v>
      </c>
      <c r="O80" s="7" t="n">
        <f aca="false">M80*N80</f>
        <v>3179156.4</v>
      </c>
      <c r="P80" s="7" t="n">
        <f aca="false">M80-O80</f>
        <v>1907493.84</v>
      </c>
      <c r="Q80" s="3" t="s">
        <v>25</v>
      </c>
      <c r="R80" s="3" t="str">
        <f aca="false">TEXT(A80,"YYYY-MM")</f>
        <v>2025-03</v>
      </c>
    </row>
    <row r="81" customFormat="false" ht="15" hidden="false" customHeight="false" outlineLevel="0" collapsed="false">
      <c r="A81" s="2" t="n">
        <v>45731</v>
      </c>
      <c r="B81" s="3" t="s">
        <v>330</v>
      </c>
      <c r="C81" s="3" t="s">
        <v>100</v>
      </c>
      <c r="D81" s="4" t="s">
        <v>101</v>
      </c>
      <c r="E81" s="3" t="s">
        <v>254</v>
      </c>
      <c r="F81" s="4" t="s">
        <v>255</v>
      </c>
      <c r="G81" s="3" t="s">
        <v>31</v>
      </c>
      <c r="H81" s="3" t="s">
        <v>44</v>
      </c>
      <c r="I81" s="5" t="n">
        <v>547</v>
      </c>
      <c r="J81" s="6" t="n">
        <v>3310</v>
      </c>
      <c r="K81" s="7" t="n">
        <f aca="false">I81*J81</f>
        <v>1810570</v>
      </c>
      <c r="L81" s="8" t="n">
        <v>0.089</v>
      </c>
      <c r="M81" s="7" t="n">
        <f aca="false">K81*(1-L81)</f>
        <v>1649429.27</v>
      </c>
      <c r="N81" s="8" t="n">
        <v>0.691</v>
      </c>
      <c r="O81" s="7" t="n">
        <f aca="false">M81*N81</f>
        <v>1139755.62557</v>
      </c>
      <c r="P81" s="7" t="n">
        <f aca="false">M81-O81</f>
        <v>509673.64443</v>
      </c>
      <c r="Q81" s="3" t="s">
        <v>25</v>
      </c>
      <c r="R81" s="3" t="str">
        <f aca="false">TEXT(A81,"YYYY-MM")</f>
        <v>2025-03</v>
      </c>
    </row>
    <row r="82" customFormat="false" ht="15" hidden="false" customHeight="false" outlineLevel="0" collapsed="false">
      <c r="A82" s="2" t="n">
        <v>45732</v>
      </c>
      <c r="B82" s="3" t="s">
        <v>331</v>
      </c>
      <c r="C82" s="3" t="s">
        <v>332</v>
      </c>
      <c r="D82" s="4" t="s">
        <v>62</v>
      </c>
      <c r="E82" s="3" t="s">
        <v>29</v>
      </c>
      <c r="F82" s="4" t="s">
        <v>30</v>
      </c>
      <c r="G82" s="3" t="s">
        <v>31</v>
      </c>
      <c r="H82" s="3" t="s">
        <v>44</v>
      </c>
      <c r="I82" s="5" t="n">
        <v>494</v>
      </c>
      <c r="J82" s="6" t="n">
        <v>8000</v>
      </c>
      <c r="K82" s="7" t="n">
        <f aca="false">I82*J82</f>
        <v>3952000</v>
      </c>
      <c r="L82" s="8" t="n">
        <v>0.077</v>
      </c>
      <c r="M82" s="7" t="n">
        <f aca="false">K82*(1-L82)</f>
        <v>3647696</v>
      </c>
      <c r="N82" s="8" t="n">
        <v>0.611</v>
      </c>
      <c r="O82" s="7" t="n">
        <f aca="false">M82*N82</f>
        <v>2228742.256</v>
      </c>
      <c r="P82" s="7" t="n">
        <f aca="false">M82-O82</f>
        <v>1418953.744</v>
      </c>
      <c r="Q82" s="3" t="s">
        <v>25</v>
      </c>
      <c r="R82" s="3" t="str">
        <f aca="false">TEXT(A82,"YYYY-MM")</f>
        <v>2025-03</v>
      </c>
    </row>
    <row r="83" customFormat="false" ht="15" hidden="false" customHeight="false" outlineLevel="0" collapsed="false">
      <c r="A83" s="2" t="n">
        <v>45732</v>
      </c>
      <c r="B83" s="3" t="s">
        <v>333</v>
      </c>
      <c r="C83" s="3" t="s">
        <v>115</v>
      </c>
      <c r="D83" s="4" t="s">
        <v>116</v>
      </c>
      <c r="E83" s="3" t="s">
        <v>316</v>
      </c>
      <c r="F83" s="4" t="s">
        <v>317</v>
      </c>
      <c r="G83" s="3" t="s">
        <v>31</v>
      </c>
      <c r="H83" s="3" t="s">
        <v>44</v>
      </c>
      <c r="I83" s="5" t="n">
        <v>788</v>
      </c>
      <c r="J83" s="6" t="n">
        <v>8250</v>
      </c>
      <c r="K83" s="7" t="n">
        <f aca="false">I83*J83</f>
        <v>6501000</v>
      </c>
      <c r="L83" s="8" t="n">
        <v>0.144</v>
      </c>
      <c r="M83" s="7" t="n">
        <f aca="false">K83*(1-L83)</f>
        <v>5564856</v>
      </c>
      <c r="N83" s="8" t="n">
        <v>0.694</v>
      </c>
      <c r="O83" s="7" t="n">
        <f aca="false">M83*N83</f>
        <v>3862010.064</v>
      </c>
      <c r="P83" s="7" t="n">
        <f aca="false">M83-O83</f>
        <v>1702845.936</v>
      </c>
      <c r="Q83" s="3" t="s">
        <v>25</v>
      </c>
      <c r="R83" s="3" t="str">
        <f aca="false">TEXT(A83,"YYYY-MM")</f>
        <v>2025-03</v>
      </c>
    </row>
    <row r="84" customFormat="false" ht="15" hidden="false" customHeight="false" outlineLevel="0" collapsed="false">
      <c r="A84" s="2" t="n">
        <v>45733</v>
      </c>
      <c r="B84" s="3" t="s">
        <v>334</v>
      </c>
      <c r="C84" s="3" t="s">
        <v>335</v>
      </c>
      <c r="D84" s="4" t="s">
        <v>237</v>
      </c>
      <c r="E84" s="3" t="s">
        <v>71</v>
      </c>
      <c r="F84" s="4" t="s">
        <v>72</v>
      </c>
      <c r="G84" s="3" t="s">
        <v>23</v>
      </c>
      <c r="H84" s="3" t="s">
        <v>24</v>
      </c>
      <c r="I84" s="5" t="n">
        <v>252</v>
      </c>
      <c r="J84" s="6" t="n">
        <v>6740</v>
      </c>
      <c r="K84" s="7" t="n">
        <f aca="false">I84*J84</f>
        <v>1698480</v>
      </c>
      <c r="L84" s="8" t="n">
        <v>0</v>
      </c>
      <c r="M84" s="7" t="n">
        <f aca="false">K84*(1-L84)</f>
        <v>1698480</v>
      </c>
      <c r="N84" s="8" t="n">
        <v>0.69</v>
      </c>
      <c r="O84" s="7" t="n">
        <f aca="false">M84*N84</f>
        <v>1171951.2</v>
      </c>
      <c r="P84" s="7" t="n">
        <f aca="false">M84-O84</f>
        <v>526528.8</v>
      </c>
      <c r="Q84" s="3" t="s">
        <v>25</v>
      </c>
      <c r="R84" s="3" t="str">
        <f aca="false">TEXT(A84,"YYYY-MM")</f>
        <v>2025-03</v>
      </c>
    </row>
    <row r="85" customFormat="false" ht="15" hidden="false" customHeight="false" outlineLevel="0" collapsed="false">
      <c r="A85" s="2" t="n">
        <v>45734</v>
      </c>
      <c r="B85" s="3" t="s">
        <v>336</v>
      </c>
      <c r="C85" s="3" t="s">
        <v>46</v>
      </c>
      <c r="D85" s="4" t="s">
        <v>47</v>
      </c>
      <c r="E85" s="3" t="s">
        <v>238</v>
      </c>
      <c r="F85" s="4" t="s">
        <v>239</v>
      </c>
      <c r="G85" s="3" t="s">
        <v>37</v>
      </c>
      <c r="H85" s="3" t="s">
        <v>44</v>
      </c>
      <c r="I85" s="5" t="n">
        <v>56</v>
      </c>
      <c r="J85" s="6" t="n">
        <v>8480</v>
      </c>
      <c r="K85" s="7" t="n">
        <f aca="false">I85*J85</f>
        <v>474880</v>
      </c>
      <c r="L85" s="8" t="n">
        <v>0</v>
      </c>
      <c r="M85" s="7" t="n">
        <f aca="false">K85*(1-L85)</f>
        <v>474880</v>
      </c>
      <c r="N85" s="8" t="n">
        <v>0.638</v>
      </c>
      <c r="O85" s="7" t="n">
        <f aca="false">M85*N85</f>
        <v>302973.44</v>
      </c>
      <c r="P85" s="7" t="n">
        <f aca="false">M85-O85</f>
        <v>171906.56</v>
      </c>
      <c r="Q85" s="3" t="s">
        <v>25</v>
      </c>
      <c r="R85" s="3" t="str">
        <f aca="false">TEXT(A85,"YYYY-MM")</f>
        <v>2025-03</v>
      </c>
    </row>
    <row r="86" customFormat="false" ht="15" hidden="false" customHeight="false" outlineLevel="0" collapsed="false">
      <c r="A86" s="2" t="n">
        <v>45735</v>
      </c>
      <c r="B86" s="3" t="s">
        <v>337</v>
      </c>
      <c r="C86" s="3" t="s">
        <v>236</v>
      </c>
      <c r="D86" s="4" t="s">
        <v>237</v>
      </c>
      <c r="E86" s="3" t="s">
        <v>183</v>
      </c>
      <c r="F86" s="4" t="s">
        <v>184</v>
      </c>
      <c r="G86" s="3" t="s">
        <v>31</v>
      </c>
      <c r="H86" s="3" t="s">
        <v>24</v>
      </c>
      <c r="I86" s="5" t="n">
        <v>222</v>
      </c>
      <c r="J86" s="6" t="n">
        <v>8670</v>
      </c>
      <c r="K86" s="7" t="n">
        <f aca="false">I86*J86</f>
        <v>1924740</v>
      </c>
      <c r="L86" s="8" t="n">
        <v>0</v>
      </c>
      <c r="M86" s="7" t="n">
        <f aca="false">K86*(1-L86)</f>
        <v>1924740</v>
      </c>
      <c r="N86" s="8" t="n">
        <v>0.673</v>
      </c>
      <c r="O86" s="7" t="n">
        <f aca="false">M86*N86</f>
        <v>1295350.02</v>
      </c>
      <c r="P86" s="7" t="n">
        <f aca="false">M86-O86</f>
        <v>629389.98</v>
      </c>
      <c r="Q86" s="3" t="s">
        <v>25</v>
      </c>
      <c r="R86" s="3" t="str">
        <f aca="false">TEXT(A86,"YYYY-MM")</f>
        <v>2025-03</v>
      </c>
    </row>
    <row r="87" customFormat="false" ht="15" hidden="false" customHeight="false" outlineLevel="0" collapsed="false">
      <c r="A87" s="2" t="n">
        <v>45736</v>
      </c>
      <c r="B87" s="3" t="s">
        <v>338</v>
      </c>
      <c r="C87" s="3" t="s">
        <v>339</v>
      </c>
      <c r="D87" s="4" t="s">
        <v>340</v>
      </c>
      <c r="E87" s="3" t="s">
        <v>42</v>
      </c>
      <c r="F87" s="4" t="s">
        <v>43</v>
      </c>
      <c r="G87" s="3" t="s">
        <v>23</v>
      </c>
      <c r="H87" s="3" t="s">
        <v>44</v>
      </c>
      <c r="I87" s="5" t="n">
        <v>204</v>
      </c>
      <c r="J87" s="6" t="n">
        <v>9950</v>
      </c>
      <c r="K87" s="7" t="n">
        <f aca="false">I87*J87</f>
        <v>2029800</v>
      </c>
      <c r="L87" s="8" t="n">
        <v>0.038</v>
      </c>
      <c r="M87" s="7" t="n">
        <f aca="false">K87*(1-L87)</f>
        <v>1952667.6</v>
      </c>
      <c r="N87" s="8" t="n">
        <v>0.701</v>
      </c>
      <c r="O87" s="7" t="n">
        <f aca="false">M87*N87</f>
        <v>1368819.9876</v>
      </c>
      <c r="P87" s="7" t="n">
        <f aca="false">M87-O87</f>
        <v>583847.6124</v>
      </c>
      <c r="Q87" s="3" t="s">
        <v>25</v>
      </c>
      <c r="R87" s="3" t="str">
        <f aca="false">TEXT(A87,"YYYY-MM")</f>
        <v>2025-03</v>
      </c>
    </row>
    <row r="88" customFormat="false" ht="15" hidden="false" customHeight="false" outlineLevel="0" collapsed="false">
      <c r="A88" s="2" t="n">
        <v>45736</v>
      </c>
      <c r="B88" s="3" t="s">
        <v>341</v>
      </c>
      <c r="C88" s="3" t="s">
        <v>342</v>
      </c>
      <c r="D88" s="4" t="s">
        <v>343</v>
      </c>
      <c r="E88" s="3" t="s">
        <v>42</v>
      </c>
      <c r="F88" s="4" t="s">
        <v>43</v>
      </c>
      <c r="G88" s="3" t="s">
        <v>23</v>
      </c>
      <c r="H88" s="3" t="s">
        <v>24</v>
      </c>
      <c r="I88" s="5" t="n">
        <v>272</v>
      </c>
      <c r="J88" s="6" t="n">
        <v>9950</v>
      </c>
      <c r="K88" s="7" t="n">
        <f aca="false">I88*J88</f>
        <v>2706400</v>
      </c>
      <c r="L88" s="8" t="n">
        <v>0</v>
      </c>
      <c r="M88" s="7" t="n">
        <f aca="false">K88*(1-L88)</f>
        <v>2706400</v>
      </c>
      <c r="N88" s="8" t="n">
        <v>0.631</v>
      </c>
      <c r="O88" s="7" t="n">
        <f aca="false">M88*N88</f>
        <v>1707738.4</v>
      </c>
      <c r="P88" s="7" t="n">
        <f aca="false">M88-O88</f>
        <v>998661.6</v>
      </c>
      <c r="Q88" s="3" t="s">
        <v>25</v>
      </c>
      <c r="R88" s="3" t="str">
        <f aca="false">TEXT(A88,"YYYY-MM")</f>
        <v>2025-03</v>
      </c>
    </row>
    <row r="89" customFormat="false" ht="15" hidden="false" customHeight="false" outlineLevel="0" collapsed="false">
      <c r="A89" s="2" t="n">
        <v>45737</v>
      </c>
      <c r="B89" s="3" t="s">
        <v>344</v>
      </c>
      <c r="C89" s="3" t="s">
        <v>123</v>
      </c>
      <c r="D89" s="4" t="s">
        <v>124</v>
      </c>
      <c r="E89" s="3" t="s">
        <v>345</v>
      </c>
      <c r="F89" s="4" t="s">
        <v>346</v>
      </c>
      <c r="G89" s="3" t="s">
        <v>31</v>
      </c>
      <c r="H89" s="3" t="s">
        <v>24</v>
      </c>
      <c r="I89" s="5" t="n">
        <v>153</v>
      </c>
      <c r="J89" s="6" t="n">
        <v>5110</v>
      </c>
      <c r="K89" s="7" t="n">
        <f aca="false">I89*J89</f>
        <v>781830</v>
      </c>
      <c r="L89" s="8" t="n">
        <v>0</v>
      </c>
      <c r="M89" s="7" t="n">
        <f aca="false">K89*(1-L89)</f>
        <v>781830</v>
      </c>
      <c r="N89" s="8" t="n">
        <v>0.646</v>
      </c>
      <c r="O89" s="7" t="n">
        <f aca="false">M89*N89</f>
        <v>505062.18</v>
      </c>
      <c r="P89" s="7" t="n">
        <f aca="false">M89-O89</f>
        <v>276767.82</v>
      </c>
      <c r="Q89" s="3" t="s">
        <v>25</v>
      </c>
      <c r="R89" s="3" t="str">
        <f aca="false">TEXT(A89,"YYYY-MM")</f>
        <v>2025-03</v>
      </c>
    </row>
    <row r="90" customFormat="false" ht="15" hidden="false" customHeight="false" outlineLevel="0" collapsed="false">
      <c r="A90" s="2" t="n">
        <v>45739</v>
      </c>
      <c r="B90" s="3" t="s">
        <v>347</v>
      </c>
      <c r="C90" s="3" t="s">
        <v>100</v>
      </c>
      <c r="D90" s="4" t="s">
        <v>101</v>
      </c>
      <c r="E90" s="3" t="s">
        <v>348</v>
      </c>
      <c r="F90" s="4" t="s">
        <v>349</v>
      </c>
      <c r="G90" s="3" t="s">
        <v>23</v>
      </c>
      <c r="H90" s="3" t="s">
        <v>44</v>
      </c>
      <c r="I90" s="5" t="n">
        <v>159</v>
      </c>
      <c r="J90" s="6" t="n">
        <v>8920</v>
      </c>
      <c r="K90" s="7" t="n">
        <f aca="false">I90*J90</f>
        <v>1418280</v>
      </c>
      <c r="L90" s="8" t="n">
        <v>0.039</v>
      </c>
      <c r="M90" s="7" t="n">
        <f aca="false">K90*(1-L90)</f>
        <v>1362967.08</v>
      </c>
      <c r="N90" s="8" t="n">
        <v>0.666</v>
      </c>
      <c r="O90" s="7" t="n">
        <f aca="false">M90*N90</f>
        <v>907736.07528</v>
      </c>
      <c r="P90" s="7" t="n">
        <f aca="false">M90-O90</f>
        <v>455231.00472</v>
      </c>
      <c r="Q90" s="3" t="s">
        <v>25</v>
      </c>
      <c r="R90" s="3" t="str">
        <f aca="false">TEXT(A90,"YYYY-MM")</f>
        <v>2025-03</v>
      </c>
    </row>
    <row r="91" customFormat="false" ht="15" hidden="false" customHeight="false" outlineLevel="0" collapsed="false">
      <c r="A91" s="2" t="n">
        <v>45740</v>
      </c>
      <c r="B91" s="3" t="s">
        <v>350</v>
      </c>
      <c r="C91" s="3" t="s">
        <v>351</v>
      </c>
      <c r="D91" s="4" t="s">
        <v>28</v>
      </c>
      <c r="E91" s="3" t="s">
        <v>352</v>
      </c>
      <c r="F91" s="4" t="s">
        <v>353</v>
      </c>
      <c r="G91" s="3" t="s">
        <v>31</v>
      </c>
      <c r="H91" s="3" t="s">
        <v>24</v>
      </c>
      <c r="I91" s="5" t="n">
        <v>527</v>
      </c>
      <c r="J91" s="6" t="n">
        <v>9460</v>
      </c>
      <c r="K91" s="7" t="n">
        <f aca="false">I91*J91</f>
        <v>4985420</v>
      </c>
      <c r="L91" s="8" t="n">
        <v>0.075</v>
      </c>
      <c r="M91" s="7" t="n">
        <f aca="false">K91*(1-L91)</f>
        <v>4611513.5</v>
      </c>
      <c r="N91" s="8" t="n">
        <v>0.681</v>
      </c>
      <c r="O91" s="7" t="n">
        <f aca="false">M91*N91</f>
        <v>3140440.6935</v>
      </c>
      <c r="P91" s="7" t="n">
        <f aca="false">M91-O91</f>
        <v>1471072.8065</v>
      </c>
      <c r="Q91" s="3" t="s">
        <v>25</v>
      </c>
      <c r="R91" s="3" t="str">
        <f aca="false">TEXT(A91,"YYYY-MM")</f>
        <v>2025-03</v>
      </c>
    </row>
    <row r="92" customFormat="false" ht="15" hidden="false" customHeight="false" outlineLevel="0" collapsed="false">
      <c r="A92" s="2" t="n">
        <v>45741</v>
      </c>
      <c r="B92" s="3" t="s">
        <v>354</v>
      </c>
      <c r="C92" s="3" t="s">
        <v>355</v>
      </c>
      <c r="D92" s="4" t="s">
        <v>356</v>
      </c>
      <c r="E92" s="3" t="s">
        <v>75</v>
      </c>
      <c r="F92" s="4" t="s">
        <v>76</v>
      </c>
      <c r="G92" s="3" t="s">
        <v>31</v>
      </c>
      <c r="H92" s="3" t="s">
        <v>44</v>
      </c>
      <c r="I92" s="5" t="n">
        <v>125</v>
      </c>
      <c r="J92" s="6" t="n">
        <v>3600</v>
      </c>
      <c r="K92" s="7" t="n">
        <f aca="false">I92*J92</f>
        <v>450000</v>
      </c>
      <c r="L92" s="8" t="n">
        <v>0.045</v>
      </c>
      <c r="M92" s="7" t="n">
        <f aca="false">K92*(1-L92)</f>
        <v>429750</v>
      </c>
      <c r="N92" s="8" t="n">
        <v>0.748</v>
      </c>
      <c r="O92" s="7" t="n">
        <f aca="false">M92*N92</f>
        <v>321453</v>
      </c>
      <c r="P92" s="7" t="n">
        <f aca="false">M92-O92</f>
        <v>108297</v>
      </c>
      <c r="Q92" s="3" t="s">
        <v>25</v>
      </c>
      <c r="R92" s="3" t="str">
        <f aca="false">TEXT(A92,"YYYY-MM")</f>
        <v>2025-03</v>
      </c>
    </row>
    <row r="93" customFormat="false" ht="15" hidden="false" customHeight="false" outlineLevel="0" collapsed="false">
      <c r="A93" s="2" t="n">
        <v>45741</v>
      </c>
      <c r="B93" s="3" t="s">
        <v>357</v>
      </c>
      <c r="C93" s="3" t="s">
        <v>358</v>
      </c>
      <c r="D93" s="4" t="s">
        <v>359</v>
      </c>
      <c r="E93" s="3" t="s">
        <v>246</v>
      </c>
      <c r="F93" s="4" t="s">
        <v>247</v>
      </c>
      <c r="G93" s="3" t="s">
        <v>31</v>
      </c>
      <c r="H93" s="3" t="s">
        <v>44</v>
      </c>
      <c r="I93" s="5" t="n">
        <v>364</v>
      </c>
      <c r="J93" s="6" t="n">
        <v>3180</v>
      </c>
      <c r="K93" s="7" t="n">
        <f aca="false">I93*J93</f>
        <v>1157520</v>
      </c>
      <c r="L93" s="8" t="n">
        <v>0.042</v>
      </c>
      <c r="M93" s="7" t="n">
        <f aca="false">K93*(1-L93)</f>
        <v>1108904.16</v>
      </c>
      <c r="N93" s="8" t="n">
        <v>0.694</v>
      </c>
      <c r="O93" s="7" t="n">
        <f aca="false">M93*N93</f>
        <v>769579.48704</v>
      </c>
      <c r="P93" s="7" t="n">
        <f aca="false">M93-O93</f>
        <v>339324.67296</v>
      </c>
      <c r="Q93" s="3" t="s">
        <v>155</v>
      </c>
      <c r="R93" s="3" t="str">
        <f aca="false">TEXT(A93,"YYYY-MM")</f>
        <v>2025-03</v>
      </c>
    </row>
    <row r="94" customFormat="false" ht="15" hidden="false" customHeight="false" outlineLevel="0" collapsed="false">
      <c r="A94" s="2" t="n">
        <v>45742</v>
      </c>
      <c r="B94" s="3" t="s">
        <v>360</v>
      </c>
      <c r="C94" s="3" t="s">
        <v>361</v>
      </c>
      <c r="D94" s="4" t="s">
        <v>362</v>
      </c>
      <c r="E94" s="3" t="s">
        <v>260</v>
      </c>
      <c r="F94" s="4" t="s">
        <v>261</v>
      </c>
      <c r="G94" s="3" t="s">
        <v>23</v>
      </c>
      <c r="H94" s="3" t="s">
        <v>44</v>
      </c>
      <c r="I94" s="5" t="n">
        <v>974</v>
      </c>
      <c r="J94" s="6" t="n">
        <v>4230</v>
      </c>
      <c r="K94" s="7" t="n">
        <f aca="false">I94*J94</f>
        <v>4120020</v>
      </c>
      <c r="L94" s="8" t="n">
        <v>0.089</v>
      </c>
      <c r="M94" s="7" t="n">
        <f aca="false">K94*(1-L94)</f>
        <v>3753338.22</v>
      </c>
      <c r="N94" s="8" t="n">
        <v>0.737</v>
      </c>
      <c r="O94" s="7" t="n">
        <f aca="false">M94*N94</f>
        <v>2766210.26814</v>
      </c>
      <c r="P94" s="7" t="n">
        <f aca="false">M94-O94</f>
        <v>987127.95186</v>
      </c>
      <c r="Q94" s="3" t="s">
        <v>25</v>
      </c>
      <c r="R94" s="3" t="str">
        <f aca="false">TEXT(A94,"YYYY-MM")</f>
        <v>2025-03</v>
      </c>
    </row>
    <row r="95" customFormat="false" ht="15" hidden="false" customHeight="false" outlineLevel="0" collapsed="false">
      <c r="A95" s="2" t="n">
        <v>45742</v>
      </c>
      <c r="B95" s="3" t="s">
        <v>363</v>
      </c>
      <c r="C95" s="3" t="s">
        <v>364</v>
      </c>
      <c r="D95" s="4" t="s">
        <v>365</v>
      </c>
      <c r="E95" s="3" t="s">
        <v>366</v>
      </c>
      <c r="F95" s="4" t="s">
        <v>367</v>
      </c>
      <c r="G95" s="3" t="s">
        <v>23</v>
      </c>
      <c r="H95" s="3" t="s">
        <v>44</v>
      </c>
      <c r="I95" s="5" t="n">
        <v>24</v>
      </c>
      <c r="J95" s="6" t="n">
        <v>8640</v>
      </c>
      <c r="K95" s="7" t="n">
        <f aca="false">I95*J95</f>
        <v>207360</v>
      </c>
      <c r="L95" s="8" t="n">
        <v>0</v>
      </c>
      <c r="M95" s="7" t="n">
        <f aca="false">K95*(1-L95)</f>
        <v>207360</v>
      </c>
      <c r="N95" s="8" t="n">
        <v>0.669</v>
      </c>
      <c r="O95" s="7" t="n">
        <f aca="false">M95*N95</f>
        <v>138723.84</v>
      </c>
      <c r="P95" s="7" t="n">
        <f aca="false">M95-O95</f>
        <v>68636.16</v>
      </c>
      <c r="Q95" s="3" t="s">
        <v>25</v>
      </c>
      <c r="R95" s="3" t="str">
        <f aca="false">TEXT(A95,"YYYY-MM")</f>
        <v>2025-03</v>
      </c>
    </row>
    <row r="96" customFormat="false" ht="15" hidden="false" customHeight="false" outlineLevel="0" collapsed="false">
      <c r="A96" s="2" t="n">
        <v>45744</v>
      </c>
      <c r="B96" s="3" t="s">
        <v>368</v>
      </c>
      <c r="C96" s="3" t="s">
        <v>355</v>
      </c>
      <c r="D96" s="4" t="s">
        <v>356</v>
      </c>
      <c r="E96" s="3" t="s">
        <v>369</v>
      </c>
      <c r="F96" s="4" t="s">
        <v>370</v>
      </c>
      <c r="G96" s="3" t="s">
        <v>23</v>
      </c>
      <c r="H96" s="3" t="s">
        <v>44</v>
      </c>
      <c r="I96" s="5" t="n">
        <v>843</v>
      </c>
      <c r="J96" s="6" t="n">
        <v>5910</v>
      </c>
      <c r="K96" s="7" t="n">
        <f aca="false">I96*J96</f>
        <v>4982130</v>
      </c>
      <c r="L96" s="8" t="n">
        <v>0.087</v>
      </c>
      <c r="M96" s="7" t="n">
        <f aca="false">K96*(1-L96)</f>
        <v>4548684.69</v>
      </c>
      <c r="N96" s="8" t="n">
        <v>0.691</v>
      </c>
      <c r="O96" s="7" t="n">
        <f aca="false">M96*N96</f>
        <v>3143141.12079</v>
      </c>
      <c r="P96" s="7" t="n">
        <f aca="false">M96-O96</f>
        <v>1405543.56921</v>
      </c>
      <c r="Q96" s="3" t="s">
        <v>25</v>
      </c>
      <c r="R96" s="3" t="str">
        <f aca="false">TEXT(A96,"YYYY-MM")</f>
        <v>2025-03</v>
      </c>
    </row>
    <row r="97" customFormat="false" ht="15" hidden="false" customHeight="false" outlineLevel="0" collapsed="false">
      <c r="A97" s="2" t="n">
        <v>45744</v>
      </c>
      <c r="B97" s="3" t="s">
        <v>371</v>
      </c>
      <c r="C97" s="3" t="s">
        <v>161</v>
      </c>
      <c r="D97" s="4" t="s">
        <v>162</v>
      </c>
      <c r="E97" s="3" t="s">
        <v>63</v>
      </c>
      <c r="F97" s="4" t="s">
        <v>64</v>
      </c>
      <c r="G97" s="3" t="s">
        <v>37</v>
      </c>
      <c r="H97" s="3" t="s">
        <v>24</v>
      </c>
      <c r="I97" s="5" t="n">
        <v>124</v>
      </c>
      <c r="J97" s="6" t="n">
        <v>4450</v>
      </c>
      <c r="K97" s="7" t="n">
        <f aca="false">I97*J97</f>
        <v>551800</v>
      </c>
      <c r="L97" s="8" t="n">
        <v>0</v>
      </c>
      <c r="M97" s="7" t="n">
        <f aca="false">K97*(1-L97)</f>
        <v>551800</v>
      </c>
      <c r="N97" s="8" t="n">
        <v>0.681</v>
      </c>
      <c r="O97" s="7" t="n">
        <f aca="false">M97*N97</f>
        <v>375775.8</v>
      </c>
      <c r="P97" s="7" t="n">
        <f aca="false">M97-O97</f>
        <v>176024.2</v>
      </c>
      <c r="Q97" s="3" t="s">
        <v>25</v>
      </c>
      <c r="R97" s="3" t="str">
        <f aca="false">TEXT(A97,"YYYY-MM")</f>
        <v>2025-03</v>
      </c>
    </row>
    <row r="98" customFormat="false" ht="15" hidden="false" customHeight="false" outlineLevel="0" collapsed="false">
      <c r="A98" s="2" t="n">
        <v>45744</v>
      </c>
      <c r="B98" s="3" t="s">
        <v>372</v>
      </c>
      <c r="C98" s="3" t="s">
        <v>373</v>
      </c>
      <c r="D98" s="4" t="s">
        <v>253</v>
      </c>
      <c r="E98" s="3" t="s">
        <v>374</v>
      </c>
      <c r="F98" s="4" t="s">
        <v>375</v>
      </c>
      <c r="G98" s="3" t="s">
        <v>23</v>
      </c>
      <c r="H98" s="3" t="s">
        <v>44</v>
      </c>
      <c r="I98" s="5" t="n">
        <v>109</v>
      </c>
      <c r="J98" s="6" t="n">
        <v>5680</v>
      </c>
      <c r="K98" s="7" t="n">
        <f aca="false">I98*J98</f>
        <v>619120</v>
      </c>
      <c r="L98" s="8" t="n">
        <v>0</v>
      </c>
      <c r="M98" s="7" t="n">
        <f aca="false">K98*(1-L98)</f>
        <v>619120</v>
      </c>
      <c r="N98" s="8" t="n">
        <v>0.715</v>
      </c>
      <c r="O98" s="7" t="n">
        <f aca="false">M98*N98</f>
        <v>442670.8</v>
      </c>
      <c r="P98" s="7" t="n">
        <f aca="false">M98-O98</f>
        <v>176449.2</v>
      </c>
      <c r="Q98" s="3" t="s">
        <v>25</v>
      </c>
      <c r="R98" s="3" t="str">
        <f aca="false">TEXT(A98,"YYYY-MM")</f>
        <v>2025-03</v>
      </c>
    </row>
    <row r="99" customFormat="false" ht="15" hidden="false" customHeight="false" outlineLevel="0" collapsed="false">
      <c r="A99" s="2" t="n">
        <v>45745</v>
      </c>
      <c r="B99" s="3" t="s">
        <v>376</v>
      </c>
      <c r="C99" s="3" t="s">
        <v>377</v>
      </c>
      <c r="D99" s="4" t="s">
        <v>85</v>
      </c>
      <c r="E99" s="3" t="s">
        <v>35</v>
      </c>
      <c r="F99" s="4" t="s">
        <v>36</v>
      </c>
      <c r="G99" s="3" t="s">
        <v>37</v>
      </c>
      <c r="H99" s="3" t="s">
        <v>44</v>
      </c>
      <c r="I99" s="5" t="n">
        <v>173</v>
      </c>
      <c r="J99" s="6" t="n">
        <v>7860</v>
      </c>
      <c r="K99" s="7" t="n">
        <f aca="false">I99*J99</f>
        <v>1359780</v>
      </c>
      <c r="L99" s="8" t="n">
        <v>0.036</v>
      </c>
      <c r="M99" s="7" t="n">
        <f aca="false">K99*(1-L99)</f>
        <v>1310827.92</v>
      </c>
      <c r="N99" s="8" t="n">
        <v>0.674</v>
      </c>
      <c r="O99" s="7" t="n">
        <f aca="false">M99*N99</f>
        <v>883498.01808</v>
      </c>
      <c r="P99" s="7" t="n">
        <f aca="false">M99-O99</f>
        <v>427329.90192</v>
      </c>
      <c r="Q99" s="3" t="s">
        <v>155</v>
      </c>
      <c r="R99" s="3" t="str">
        <f aca="false">TEXT(A99,"YYYY-MM")</f>
        <v>2025-03</v>
      </c>
    </row>
    <row r="100" customFormat="false" ht="15" hidden="false" customHeight="false" outlineLevel="0" collapsed="false">
      <c r="A100" s="2" t="n">
        <v>45746</v>
      </c>
      <c r="B100" s="3" t="s">
        <v>378</v>
      </c>
      <c r="C100" s="3" t="s">
        <v>284</v>
      </c>
      <c r="D100" s="4" t="s">
        <v>285</v>
      </c>
      <c r="E100" s="3" t="s">
        <v>264</v>
      </c>
      <c r="F100" s="4" t="s">
        <v>265</v>
      </c>
      <c r="G100" s="3" t="s">
        <v>23</v>
      </c>
      <c r="H100" s="3" t="s">
        <v>44</v>
      </c>
      <c r="I100" s="5" t="n">
        <v>934</v>
      </c>
      <c r="J100" s="6" t="n">
        <v>14480</v>
      </c>
      <c r="K100" s="7" t="n">
        <f aca="false">I100*J100</f>
        <v>13524320</v>
      </c>
      <c r="L100" s="8" t="n">
        <v>0.094</v>
      </c>
      <c r="M100" s="7" t="n">
        <f aca="false">K100*(1-L100)</f>
        <v>12253033.92</v>
      </c>
      <c r="N100" s="8" t="n">
        <v>0.671</v>
      </c>
      <c r="O100" s="7" t="n">
        <f aca="false">M100*N100</f>
        <v>8221785.76032</v>
      </c>
      <c r="P100" s="7" t="n">
        <f aca="false">M100-O100</f>
        <v>4031248.15968</v>
      </c>
      <c r="Q100" s="3" t="s">
        <v>25</v>
      </c>
      <c r="R100" s="3" t="str">
        <f aca="false">TEXT(A100,"YYYY-MM")</f>
        <v>2025-03</v>
      </c>
    </row>
    <row r="101" customFormat="false" ht="15" hidden="false" customHeight="false" outlineLevel="0" collapsed="false">
      <c r="A101" s="2" t="n">
        <v>45747</v>
      </c>
      <c r="B101" s="3" t="s">
        <v>379</v>
      </c>
      <c r="C101" s="3" t="s">
        <v>147</v>
      </c>
      <c r="D101" s="4" t="s">
        <v>148</v>
      </c>
      <c r="E101" s="3" t="s">
        <v>254</v>
      </c>
      <c r="F101" s="4" t="s">
        <v>255</v>
      </c>
      <c r="G101" s="3" t="s">
        <v>31</v>
      </c>
      <c r="H101" s="3" t="s">
        <v>44</v>
      </c>
      <c r="I101" s="5" t="n">
        <v>641</v>
      </c>
      <c r="J101" s="6" t="n">
        <v>3310</v>
      </c>
      <c r="K101" s="7" t="n">
        <f aca="false">I101*J101</f>
        <v>2121710</v>
      </c>
      <c r="L101" s="8" t="n">
        <v>0.095</v>
      </c>
      <c r="M101" s="7" t="n">
        <f aca="false">K101*(1-L101)</f>
        <v>1920147.55</v>
      </c>
      <c r="N101" s="8" t="n">
        <v>0.727</v>
      </c>
      <c r="O101" s="7" t="n">
        <f aca="false">M101*N101</f>
        <v>1395947.26885</v>
      </c>
      <c r="P101" s="7" t="n">
        <f aca="false">M101-O101</f>
        <v>524200.28115</v>
      </c>
      <c r="Q101" s="3" t="s">
        <v>25</v>
      </c>
      <c r="R101" s="3" t="str">
        <f aca="false">TEXT(A101,"YYYY-MM")</f>
        <v>2025-03</v>
      </c>
    </row>
    <row r="102" customFormat="false" ht="15" hidden="false" customHeight="false" outlineLevel="0" collapsed="false">
      <c r="A102" s="2" t="n">
        <v>45748</v>
      </c>
      <c r="B102" s="3" t="s">
        <v>380</v>
      </c>
      <c r="C102" s="3" t="s">
        <v>381</v>
      </c>
      <c r="D102" s="4" t="s">
        <v>382</v>
      </c>
      <c r="E102" s="3" t="s">
        <v>383</v>
      </c>
      <c r="F102" s="4" t="s">
        <v>384</v>
      </c>
      <c r="G102" s="3" t="s">
        <v>31</v>
      </c>
      <c r="H102" s="3" t="s">
        <v>44</v>
      </c>
      <c r="I102" s="5" t="n">
        <v>955</v>
      </c>
      <c r="J102" s="6" t="n">
        <v>8630</v>
      </c>
      <c r="K102" s="7" t="n">
        <f aca="false">I102*J102</f>
        <v>8241650</v>
      </c>
      <c r="L102" s="8" t="n">
        <v>0.148</v>
      </c>
      <c r="M102" s="7" t="n">
        <f aca="false">K102*(1-L102)</f>
        <v>7021885.8</v>
      </c>
      <c r="N102" s="8" t="n">
        <v>0.651</v>
      </c>
      <c r="O102" s="7" t="n">
        <f aca="false">M102*N102</f>
        <v>4571247.6558</v>
      </c>
      <c r="P102" s="7" t="n">
        <f aca="false">M102-O102</f>
        <v>2450638.1442</v>
      </c>
      <c r="Q102" s="3" t="s">
        <v>25</v>
      </c>
      <c r="R102" s="3" t="str">
        <f aca="false">TEXT(A102,"YYYY-MM")</f>
        <v>2025-04</v>
      </c>
    </row>
    <row r="103" customFormat="false" ht="15" hidden="false" customHeight="false" outlineLevel="0" collapsed="false">
      <c r="A103" s="2" t="n">
        <v>45748</v>
      </c>
      <c r="B103" s="3" t="s">
        <v>385</v>
      </c>
      <c r="C103" s="3" t="s">
        <v>386</v>
      </c>
      <c r="D103" s="4" t="s">
        <v>387</v>
      </c>
      <c r="E103" s="3" t="s">
        <v>246</v>
      </c>
      <c r="F103" s="4" t="s">
        <v>247</v>
      </c>
      <c r="G103" s="3" t="s">
        <v>31</v>
      </c>
      <c r="H103" s="3" t="s">
        <v>24</v>
      </c>
      <c r="I103" s="5" t="n">
        <v>290</v>
      </c>
      <c r="J103" s="6" t="n">
        <v>3180</v>
      </c>
      <c r="K103" s="7" t="n">
        <f aca="false">I103*J103</f>
        <v>922200</v>
      </c>
      <c r="L103" s="8" t="n">
        <v>0</v>
      </c>
      <c r="M103" s="7" t="n">
        <f aca="false">K103*(1-L103)</f>
        <v>922200</v>
      </c>
      <c r="N103" s="8" t="n">
        <v>0.718</v>
      </c>
      <c r="O103" s="7" t="n">
        <f aca="false">M103*N103</f>
        <v>662139.6</v>
      </c>
      <c r="P103" s="7" t="n">
        <f aca="false">M103-O103</f>
        <v>260060.4</v>
      </c>
      <c r="Q103" s="3" t="s">
        <v>25</v>
      </c>
      <c r="R103" s="3" t="str">
        <f aca="false">TEXT(A103,"YYYY-MM")</f>
        <v>2025-04</v>
      </c>
    </row>
    <row r="104" customFormat="false" ht="15" hidden="false" customHeight="false" outlineLevel="0" collapsed="false">
      <c r="A104" s="2" t="n">
        <v>45748</v>
      </c>
      <c r="B104" s="3" t="s">
        <v>388</v>
      </c>
      <c r="C104" s="3" t="s">
        <v>373</v>
      </c>
      <c r="D104" s="4" t="s">
        <v>253</v>
      </c>
      <c r="E104" s="3" t="s">
        <v>29</v>
      </c>
      <c r="F104" s="4" t="s">
        <v>30</v>
      </c>
      <c r="G104" s="3" t="s">
        <v>31</v>
      </c>
      <c r="H104" s="3" t="s">
        <v>44</v>
      </c>
      <c r="I104" s="5" t="n">
        <v>154</v>
      </c>
      <c r="J104" s="6" t="n">
        <v>8000</v>
      </c>
      <c r="K104" s="7" t="n">
        <f aca="false">I104*J104</f>
        <v>1232000</v>
      </c>
      <c r="L104" s="8" t="n">
        <v>0.037</v>
      </c>
      <c r="M104" s="7" t="n">
        <f aca="false">K104*(1-L104)</f>
        <v>1186416</v>
      </c>
      <c r="N104" s="8" t="n">
        <v>0.642</v>
      </c>
      <c r="O104" s="7" t="n">
        <f aca="false">M104*N104</f>
        <v>761679.072</v>
      </c>
      <c r="P104" s="7" t="n">
        <f aca="false">M104-O104</f>
        <v>424736.928</v>
      </c>
      <c r="Q104" s="3" t="s">
        <v>25</v>
      </c>
      <c r="R104" s="3" t="str">
        <f aca="false">TEXT(A104,"YYYY-MM")</f>
        <v>2025-04</v>
      </c>
    </row>
    <row r="105" customFormat="false" ht="15" hidden="false" customHeight="false" outlineLevel="0" collapsed="false">
      <c r="A105" s="2" t="n">
        <v>45748</v>
      </c>
      <c r="B105" s="3" t="s">
        <v>389</v>
      </c>
      <c r="C105" s="3" t="s">
        <v>390</v>
      </c>
      <c r="D105" s="4" t="s">
        <v>391</v>
      </c>
      <c r="E105" s="3" t="s">
        <v>216</v>
      </c>
      <c r="F105" s="4" t="s">
        <v>217</v>
      </c>
      <c r="G105" s="3" t="s">
        <v>151</v>
      </c>
      <c r="H105" s="3" t="s">
        <v>24</v>
      </c>
      <c r="I105" s="5" t="n">
        <v>88</v>
      </c>
      <c r="J105" s="6" t="n">
        <v>16820</v>
      </c>
      <c r="K105" s="7" t="n">
        <f aca="false">I105*J105</f>
        <v>1480160</v>
      </c>
      <c r="L105" s="8" t="n">
        <v>0.005</v>
      </c>
      <c r="M105" s="7" t="n">
        <f aca="false">K105*(1-L105)</f>
        <v>1472759.2</v>
      </c>
      <c r="N105" s="8" t="n">
        <v>0.649</v>
      </c>
      <c r="O105" s="7" t="n">
        <f aca="false">M105*N105</f>
        <v>955820.7208</v>
      </c>
      <c r="P105" s="7" t="n">
        <f aca="false">M105-O105</f>
        <v>516938.4792</v>
      </c>
      <c r="Q105" s="3" t="s">
        <v>25</v>
      </c>
      <c r="R105" s="3" t="str">
        <f aca="false">TEXT(A105,"YYYY-MM")</f>
        <v>2025-04</v>
      </c>
    </row>
    <row r="106" customFormat="false" ht="15" hidden="false" customHeight="false" outlineLevel="0" collapsed="false">
      <c r="A106" s="2" t="n">
        <v>45749</v>
      </c>
      <c r="B106" s="3" t="s">
        <v>392</v>
      </c>
      <c r="C106" s="3" t="s">
        <v>393</v>
      </c>
      <c r="D106" s="4" t="s">
        <v>394</v>
      </c>
      <c r="E106" s="3" t="s">
        <v>264</v>
      </c>
      <c r="F106" s="4" t="s">
        <v>265</v>
      </c>
      <c r="G106" s="3" t="s">
        <v>23</v>
      </c>
      <c r="H106" s="3" t="s">
        <v>44</v>
      </c>
      <c r="I106" s="5" t="n">
        <v>53</v>
      </c>
      <c r="J106" s="6" t="n">
        <v>14480</v>
      </c>
      <c r="K106" s="7" t="n">
        <f aca="false">I106*J106</f>
        <v>767440</v>
      </c>
      <c r="L106" s="8" t="n">
        <v>0</v>
      </c>
      <c r="M106" s="7" t="n">
        <f aca="false">K106*(1-L106)</f>
        <v>767440</v>
      </c>
      <c r="N106" s="8" t="n">
        <v>0.696</v>
      </c>
      <c r="O106" s="7" t="n">
        <f aca="false">M106*N106</f>
        <v>534138.24</v>
      </c>
      <c r="P106" s="7" t="n">
        <f aca="false">M106-O106</f>
        <v>233301.76</v>
      </c>
      <c r="Q106" s="3" t="s">
        <v>25</v>
      </c>
      <c r="R106" s="3" t="str">
        <f aca="false">TEXT(A106,"YYYY-MM")</f>
        <v>2025-04</v>
      </c>
    </row>
    <row r="107" customFormat="false" ht="15" hidden="false" customHeight="false" outlineLevel="0" collapsed="false">
      <c r="A107" s="2" t="n">
        <v>45750</v>
      </c>
      <c r="B107" s="3" t="s">
        <v>395</v>
      </c>
      <c r="C107" s="3" t="s">
        <v>324</v>
      </c>
      <c r="D107" s="4" t="s">
        <v>325</v>
      </c>
      <c r="E107" s="3" t="s">
        <v>396</v>
      </c>
      <c r="F107" s="4" t="s">
        <v>397</v>
      </c>
      <c r="G107" s="3" t="s">
        <v>23</v>
      </c>
      <c r="H107" s="3" t="s">
        <v>44</v>
      </c>
      <c r="I107" s="5" t="n">
        <v>35</v>
      </c>
      <c r="J107" s="6" t="n">
        <v>4370</v>
      </c>
      <c r="K107" s="7" t="n">
        <f aca="false">I107*J107</f>
        <v>152950</v>
      </c>
      <c r="L107" s="8" t="n">
        <v>0</v>
      </c>
      <c r="M107" s="7" t="n">
        <f aca="false">K107*(1-L107)</f>
        <v>152950</v>
      </c>
      <c r="N107" s="8" t="n">
        <v>0.642</v>
      </c>
      <c r="O107" s="7" t="n">
        <f aca="false">M107*N107</f>
        <v>98193.9</v>
      </c>
      <c r="P107" s="7" t="n">
        <f aca="false">M107-O107</f>
        <v>54756.1</v>
      </c>
      <c r="Q107" s="3" t="s">
        <v>25</v>
      </c>
      <c r="R107" s="3" t="str">
        <f aca="false">TEXT(A107,"YYYY-MM")</f>
        <v>2025-04</v>
      </c>
    </row>
    <row r="108" customFormat="false" ht="15" hidden="false" customHeight="false" outlineLevel="0" collapsed="false">
      <c r="A108" s="2" t="n">
        <v>45751</v>
      </c>
      <c r="B108" s="3" t="s">
        <v>398</v>
      </c>
      <c r="C108" s="3" t="s">
        <v>381</v>
      </c>
      <c r="D108" s="4" t="s">
        <v>382</v>
      </c>
      <c r="E108" s="3" t="s">
        <v>112</v>
      </c>
      <c r="F108" s="4" t="s">
        <v>113</v>
      </c>
      <c r="G108" s="3" t="s">
        <v>31</v>
      </c>
      <c r="H108" s="3" t="s">
        <v>44</v>
      </c>
      <c r="I108" s="5" t="n">
        <v>961</v>
      </c>
      <c r="J108" s="6" t="n">
        <v>3450</v>
      </c>
      <c r="K108" s="7" t="n">
        <f aca="false">I108*J108</f>
        <v>3315450</v>
      </c>
      <c r="L108" s="8" t="n">
        <v>0.099</v>
      </c>
      <c r="M108" s="7" t="n">
        <f aca="false">K108*(1-L108)</f>
        <v>2987220.45</v>
      </c>
      <c r="N108" s="8" t="n">
        <v>0.625</v>
      </c>
      <c r="O108" s="7" t="n">
        <f aca="false">M108*N108</f>
        <v>1867012.78125</v>
      </c>
      <c r="P108" s="7" t="n">
        <f aca="false">M108-O108</f>
        <v>1120207.66875</v>
      </c>
      <c r="Q108" s="3" t="s">
        <v>25</v>
      </c>
      <c r="R108" s="3" t="str">
        <f aca="false">TEXT(A108,"YYYY-MM")</f>
        <v>2025-04</v>
      </c>
    </row>
    <row r="109" customFormat="false" ht="15" hidden="false" customHeight="false" outlineLevel="0" collapsed="false">
      <c r="A109" s="2" t="n">
        <v>45752</v>
      </c>
      <c r="B109" s="3" t="s">
        <v>399</v>
      </c>
      <c r="C109" s="3" t="s">
        <v>51</v>
      </c>
      <c r="D109" s="4" t="s">
        <v>52</v>
      </c>
      <c r="E109" s="3" t="s">
        <v>352</v>
      </c>
      <c r="F109" s="4" t="s">
        <v>353</v>
      </c>
      <c r="G109" s="3" t="s">
        <v>31</v>
      </c>
      <c r="H109" s="3" t="s">
        <v>44</v>
      </c>
      <c r="I109" s="5" t="n">
        <v>139</v>
      </c>
      <c r="J109" s="6" t="n">
        <v>9460</v>
      </c>
      <c r="K109" s="7" t="n">
        <f aca="false">I109*J109</f>
        <v>1314940</v>
      </c>
      <c r="L109" s="8" t="n">
        <v>0</v>
      </c>
      <c r="M109" s="7" t="n">
        <f aca="false">K109*(1-L109)</f>
        <v>1314940</v>
      </c>
      <c r="N109" s="8" t="n">
        <v>0.712</v>
      </c>
      <c r="O109" s="7" t="n">
        <f aca="false">M109*N109</f>
        <v>936237.28</v>
      </c>
      <c r="P109" s="7" t="n">
        <f aca="false">M109-O109</f>
        <v>378702.72</v>
      </c>
      <c r="Q109" s="3" t="s">
        <v>25</v>
      </c>
      <c r="R109" s="3" t="str">
        <f aca="false">TEXT(A109,"YYYY-MM")</f>
        <v>2025-04</v>
      </c>
    </row>
    <row r="110" customFormat="false" ht="15" hidden="false" customHeight="false" outlineLevel="0" collapsed="false">
      <c r="A110" s="2" t="n">
        <v>45753</v>
      </c>
      <c r="B110" s="3" t="s">
        <v>400</v>
      </c>
      <c r="C110" s="3" t="s">
        <v>69</v>
      </c>
      <c r="D110" s="4" t="s">
        <v>70</v>
      </c>
      <c r="E110" s="3" t="s">
        <v>102</v>
      </c>
      <c r="F110" s="4" t="s">
        <v>103</v>
      </c>
      <c r="G110" s="3" t="s">
        <v>31</v>
      </c>
      <c r="H110" s="3" t="s">
        <v>38</v>
      </c>
      <c r="I110" s="5" t="n">
        <v>219</v>
      </c>
      <c r="J110" s="6" t="n">
        <v>1770</v>
      </c>
      <c r="K110" s="7" t="n">
        <f aca="false">I110*J110</f>
        <v>387630</v>
      </c>
      <c r="L110" s="8" t="n">
        <v>0</v>
      </c>
      <c r="M110" s="7" t="n">
        <f aca="false">K110*(1-L110)</f>
        <v>387630</v>
      </c>
      <c r="N110" s="8" t="n">
        <v>0.735</v>
      </c>
      <c r="O110" s="7" t="n">
        <f aca="false">M110*N110</f>
        <v>284908.05</v>
      </c>
      <c r="P110" s="7" t="n">
        <f aca="false">M110-O110</f>
        <v>102721.95</v>
      </c>
      <c r="Q110" s="3" t="s">
        <v>25</v>
      </c>
      <c r="R110" s="3" t="str">
        <f aca="false">TEXT(A110,"YYYY-MM")</f>
        <v>2025-04</v>
      </c>
    </row>
    <row r="111" customFormat="false" ht="15" hidden="false" customHeight="false" outlineLevel="0" collapsed="false">
      <c r="A111" s="2" t="n">
        <v>45753</v>
      </c>
      <c r="B111" s="3" t="s">
        <v>401</v>
      </c>
      <c r="C111" s="3" t="s">
        <v>402</v>
      </c>
      <c r="D111" s="4" t="s">
        <v>403</v>
      </c>
      <c r="E111" s="3" t="s">
        <v>211</v>
      </c>
      <c r="F111" s="4" t="s">
        <v>212</v>
      </c>
      <c r="G111" s="3" t="s">
        <v>23</v>
      </c>
      <c r="H111" s="3" t="s">
        <v>24</v>
      </c>
      <c r="I111" s="5" t="n">
        <v>324</v>
      </c>
      <c r="J111" s="6" t="n">
        <v>13150</v>
      </c>
      <c r="K111" s="7" t="n">
        <f aca="false">I111*J111</f>
        <v>4260600</v>
      </c>
      <c r="L111" s="8" t="n">
        <v>0.087</v>
      </c>
      <c r="M111" s="7" t="n">
        <f aca="false">K111*(1-L111)</f>
        <v>3889927.8</v>
      </c>
      <c r="N111" s="8" t="n">
        <v>0.642</v>
      </c>
      <c r="O111" s="7" t="n">
        <f aca="false">M111*N111</f>
        <v>2497333.6476</v>
      </c>
      <c r="P111" s="7" t="n">
        <f aca="false">M111-O111</f>
        <v>1392594.1524</v>
      </c>
      <c r="Q111" s="3" t="s">
        <v>25</v>
      </c>
      <c r="R111" s="3" t="str">
        <f aca="false">TEXT(A111,"YYYY-MM")</f>
        <v>2025-04</v>
      </c>
    </row>
    <row r="112" customFormat="false" ht="15" hidden="false" customHeight="false" outlineLevel="0" collapsed="false">
      <c r="A112" s="2" t="n">
        <v>45753</v>
      </c>
      <c r="B112" s="3" t="s">
        <v>404</v>
      </c>
      <c r="C112" s="3" t="s">
        <v>405</v>
      </c>
      <c r="D112" s="4" t="s">
        <v>132</v>
      </c>
      <c r="E112" s="3" t="s">
        <v>274</v>
      </c>
      <c r="F112" s="4" t="s">
        <v>275</v>
      </c>
      <c r="G112" s="3" t="s">
        <v>31</v>
      </c>
      <c r="H112" s="3" t="s">
        <v>44</v>
      </c>
      <c r="I112" s="5" t="n">
        <v>276</v>
      </c>
      <c r="J112" s="6" t="n">
        <v>9280</v>
      </c>
      <c r="K112" s="7" t="n">
        <f aca="false">I112*J112</f>
        <v>2561280</v>
      </c>
      <c r="L112" s="8" t="n">
        <v>0</v>
      </c>
      <c r="M112" s="7" t="n">
        <f aca="false">K112*(1-L112)</f>
        <v>2561280</v>
      </c>
      <c r="N112" s="8" t="n">
        <v>0.712</v>
      </c>
      <c r="O112" s="7" t="n">
        <f aca="false">M112*N112</f>
        <v>1823631.36</v>
      </c>
      <c r="P112" s="7" t="n">
        <f aca="false">M112-O112</f>
        <v>737648.64</v>
      </c>
      <c r="Q112" s="3" t="s">
        <v>25</v>
      </c>
      <c r="R112" s="3" t="str">
        <f aca="false">TEXT(A112,"YYYY-MM")</f>
        <v>2025-04</v>
      </c>
    </row>
    <row r="113" customFormat="false" ht="15" hidden="false" customHeight="false" outlineLevel="0" collapsed="false">
      <c r="A113" s="2" t="n">
        <v>45753</v>
      </c>
      <c r="B113" s="3" t="s">
        <v>406</v>
      </c>
      <c r="C113" s="3" t="s">
        <v>303</v>
      </c>
      <c r="D113" s="4" t="s">
        <v>258</v>
      </c>
      <c r="E113" s="3" t="s">
        <v>48</v>
      </c>
      <c r="F113" s="4" t="s">
        <v>49</v>
      </c>
      <c r="G113" s="3" t="s">
        <v>31</v>
      </c>
      <c r="H113" s="3" t="s">
        <v>38</v>
      </c>
      <c r="I113" s="5" t="n">
        <v>958</v>
      </c>
      <c r="J113" s="6" t="n">
        <v>7530</v>
      </c>
      <c r="K113" s="7" t="n">
        <f aca="false">I113*J113</f>
        <v>7213740</v>
      </c>
      <c r="L113" s="8" t="n">
        <v>0.09</v>
      </c>
      <c r="M113" s="7" t="n">
        <f aca="false">K113*(1-L113)</f>
        <v>6564503.4</v>
      </c>
      <c r="N113" s="8" t="n">
        <v>0.744</v>
      </c>
      <c r="O113" s="7" t="n">
        <f aca="false">M113*N113</f>
        <v>4883990.5296</v>
      </c>
      <c r="P113" s="7" t="n">
        <f aca="false">M113-O113</f>
        <v>1680512.8704</v>
      </c>
      <c r="Q113" s="3" t="s">
        <v>82</v>
      </c>
      <c r="R113" s="3" t="str">
        <f aca="false">TEXT(A113,"YYYY-MM")</f>
        <v>2025-04</v>
      </c>
    </row>
    <row r="114" customFormat="false" ht="15" hidden="false" customHeight="false" outlineLevel="0" collapsed="false">
      <c r="A114" s="2" t="n">
        <v>45754</v>
      </c>
      <c r="B114" s="3" t="s">
        <v>407</v>
      </c>
      <c r="C114" s="3" t="s">
        <v>408</v>
      </c>
      <c r="D114" s="4" t="s">
        <v>409</v>
      </c>
      <c r="E114" s="3" t="s">
        <v>366</v>
      </c>
      <c r="F114" s="4" t="s">
        <v>367</v>
      </c>
      <c r="G114" s="3" t="s">
        <v>23</v>
      </c>
      <c r="H114" s="3" t="s">
        <v>44</v>
      </c>
      <c r="I114" s="5" t="n">
        <v>149</v>
      </c>
      <c r="J114" s="6" t="n">
        <v>8640</v>
      </c>
      <c r="K114" s="7" t="n">
        <f aca="false">I114*J114</f>
        <v>1287360</v>
      </c>
      <c r="L114" s="8" t="n">
        <v>0</v>
      </c>
      <c r="M114" s="7" t="n">
        <f aca="false">K114*(1-L114)</f>
        <v>1287360</v>
      </c>
      <c r="N114" s="8" t="n">
        <v>0.745</v>
      </c>
      <c r="O114" s="7" t="n">
        <f aca="false">M114*N114</f>
        <v>959083.2</v>
      </c>
      <c r="P114" s="7" t="n">
        <f aca="false">M114-O114</f>
        <v>328276.8</v>
      </c>
      <c r="Q114" s="3" t="s">
        <v>25</v>
      </c>
      <c r="R114" s="3" t="str">
        <f aca="false">TEXT(A114,"YYYY-MM")</f>
        <v>2025-04</v>
      </c>
    </row>
    <row r="115" customFormat="false" ht="15" hidden="false" customHeight="false" outlineLevel="0" collapsed="false">
      <c r="A115" s="2" t="n">
        <v>45754</v>
      </c>
      <c r="B115" s="3" t="s">
        <v>410</v>
      </c>
      <c r="C115" s="3" t="s">
        <v>105</v>
      </c>
      <c r="D115" s="4" t="s">
        <v>106</v>
      </c>
      <c r="E115" s="3" t="s">
        <v>411</v>
      </c>
      <c r="F115" s="4" t="s">
        <v>412</v>
      </c>
      <c r="G115" s="3" t="s">
        <v>23</v>
      </c>
      <c r="H115" s="3" t="s">
        <v>44</v>
      </c>
      <c r="I115" s="5" t="n">
        <v>347</v>
      </c>
      <c r="J115" s="6" t="n">
        <v>11490</v>
      </c>
      <c r="K115" s="7" t="n">
        <f aca="false">I115*J115</f>
        <v>3987030</v>
      </c>
      <c r="L115" s="8" t="n">
        <v>0.048</v>
      </c>
      <c r="M115" s="7" t="n">
        <f aca="false">K115*(1-L115)</f>
        <v>3795652.56</v>
      </c>
      <c r="N115" s="8" t="n">
        <v>0.613</v>
      </c>
      <c r="O115" s="7" t="n">
        <f aca="false">M115*N115</f>
        <v>2326735.01928</v>
      </c>
      <c r="P115" s="7" t="n">
        <f aca="false">M115-O115</f>
        <v>1468917.54072</v>
      </c>
      <c r="Q115" s="3" t="s">
        <v>25</v>
      </c>
      <c r="R115" s="3" t="str">
        <f aca="false">TEXT(A115,"YYYY-MM")</f>
        <v>2025-04</v>
      </c>
    </row>
    <row r="116" customFormat="false" ht="15" hidden="false" customHeight="false" outlineLevel="0" collapsed="false">
      <c r="A116" s="2" t="n">
        <v>45755</v>
      </c>
      <c r="B116" s="3" t="s">
        <v>413</v>
      </c>
      <c r="C116" s="3" t="s">
        <v>414</v>
      </c>
      <c r="D116" s="4" t="s">
        <v>273</v>
      </c>
      <c r="E116" s="3" t="s">
        <v>313</v>
      </c>
      <c r="F116" s="4" t="s">
        <v>314</v>
      </c>
      <c r="G116" s="3" t="s">
        <v>23</v>
      </c>
      <c r="H116" s="3" t="s">
        <v>38</v>
      </c>
      <c r="I116" s="5" t="n">
        <v>873</v>
      </c>
      <c r="J116" s="6" t="n">
        <v>14020</v>
      </c>
      <c r="K116" s="7" t="n">
        <f aca="false">I116*J116</f>
        <v>12239460</v>
      </c>
      <c r="L116" s="8" t="n">
        <v>0.125</v>
      </c>
      <c r="M116" s="7" t="n">
        <f aca="false">K116*(1-L116)</f>
        <v>10709527.5</v>
      </c>
      <c r="N116" s="8" t="n">
        <v>0.663</v>
      </c>
      <c r="O116" s="7" t="n">
        <f aca="false">M116*N116</f>
        <v>7100416.7325</v>
      </c>
      <c r="P116" s="7" t="n">
        <f aca="false">M116-O116</f>
        <v>3609110.7675</v>
      </c>
      <c r="Q116" s="3" t="s">
        <v>25</v>
      </c>
      <c r="R116" s="3" t="str">
        <f aca="false">TEXT(A116,"YYYY-MM")</f>
        <v>2025-04</v>
      </c>
    </row>
    <row r="117" customFormat="false" ht="15" hidden="false" customHeight="false" outlineLevel="0" collapsed="false">
      <c r="A117" s="2" t="n">
        <v>45756</v>
      </c>
      <c r="B117" s="3" t="s">
        <v>415</v>
      </c>
      <c r="C117" s="3" t="s">
        <v>167</v>
      </c>
      <c r="D117" s="4" t="s">
        <v>168</v>
      </c>
      <c r="E117" s="3" t="s">
        <v>290</v>
      </c>
      <c r="F117" s="4" t="s">
        <v>291</v>
      </c>
      <c r="G117" s="3" t="s">
        <v>23</v>
      </c>
      <c r="H117" s="3" t="s">
        <v>38</v>
      </c>
      <c r="I117" s="5" t="n">
        <v>590</v>
      </c>
      <c r="J117" s="6" t="n">
        <v>15430</v>
      </c>
      <c r="K117" s="7" t="n">
        <f aca="false">I117*J117</f>
        <v>9103700</v>
      </c>
      <c r="L117" s="8" t="n">
        <v>0.056</v>
      </c>
      <c r="M117" s="7" t="n">
        <f aca="false">K117*(1-L117)</f>
        <v>8593892.8</v>
      </c>
      <c r="N117" s="8" t="n">
        <v>0.691</v>
      </c>
      <c r="O117" s="7" t="n">
        <f aca="false">M117*N117</f>
        <v>5938379.9248</v>
      </c>
      <c r="P117" s="7" t="n">
        <f aca="false">M117-O117</f>
        <v>2655512.8752</v>
      </c>
      <c r="Q117" s="3" t="s">
        <v>25</v>
      </c>
      <c r="R117" s="3" t="str">
        <f aca="false">TEXT(A117,"YYYY-MM")</f>
        <v>2025-04</v>
      </c>
    </row>
    <row r="118" customFormat="false" ht="15" hidden="false" customHeight="false" outlineLevel="0" collapsed="false">
      <c r="A118" s="2" t="n">
        <v>45757</v>
      </c>
      <c r="B118" s="3" t="s">
        <v>416</v>
      </c>
      <c r="C118" s="3" t="s">
        <v>417</v>
      </c>
      <c r="D118" s="4" t="s">
        <v>418</v>
      </c>
      <c r="E118" s="3" t="s">
        <v>274</v>
      </c>
      <c r="F118" s="4" t="s">
        <v>275</v>
      </c>
      <c r="G118" s="3" t="s">
        <v>31</v>
      </c>
      <c r="H118" s="3" t="s">
        <v>44</v>
      </c>
      <c r="I118" s="5" t="n">
        <v>821</v>
      </c>
      <c r="J118" s="6" t="n">
        <v>9280</v>
      </c>
      <c r="K118" s="7" t="n">
        <f aca="false">I118*J118</f>
        <v>7618880</v>
      </c>
      <c r="L118" s="8" t="n">
        <v>0.121</v>
      </c>
      <c r="M118" s="7" t="n">
        <f aca="false">K118*(1-L118)</f>
        <v>6696995.52</v>
      </c>
      <c r="N118" s="8" t="n">
        <v>0.68</v>
      </c>
      <c r="O118" s="7" t="n">
        <f aca="false">M118*N118</f>
        <v>4553956.9536</v>
      </c>
      <c r="P118" s="7" t="n">
        <f aca="false">M118-O118</f>
        <v>2143038.5664</v>
      </c>
      <c r="Q118" s="3" t="s">
        <v>25</v>
      </c>
      <c r="R118" s="3" t="str">
        <f aca="false">TEXT(A118,"YYYY-MM")</f>
        <v>2025-04</v>
      </c>
    </row>
    <row r="119" customFormat="false" ht="15" hidden="false" customHeight="false" outlineLevel="0" collapsed="false">
      <c r="A119" s="2" t="n">
        <v>45757</v>
      </c>
      <c r="B119" s="3" t="s">
        <v>419</v>
      </c>
      <c r="C119" s="3" t="s">
        <v>69</v>
      </c>
      <c r="D119" s="4" t="s">
        <v>70</v>
      </c>
      <c r="E119" s="3" t="s">
        <v>254</v>
      </c>
      <c r="F119" s="4" t="s">
        <v>255</v>
      </c>
      <c r="G119" s="3" t="s">
        <v>31</v>
      </c>
      <c r="H119" s="3" t="s">
        <v>38</v>
      </c>
      <c r="I119" s="5" t="n">
        <v>803</v>
      </c>
      <c r="J119" s="6" t="n">
        <v>3310</v>
      </c>
      <c r="K119" s="7" t="n">
        <f aca="false">I119*J119</f>
        <v>2657930</v>
      </c>
      <c r="L119" s="8" t="n">
        <v>0.082</v>
      </c>
      <c r="M119" s="7" t="n">
        <f aca="false">K119*(1-L119)</f>
        <v>2439979.74</v>
      </c>
      <c r="N119" s="8" t="n">
        <v>0.631</v>
      </c>
      <c r="O119" s="7" t="n">
        <f aca="false">M119*N119</f>
        <v>1539627.21594</v>
      </c>
      <c r="P119" s="7" t="n">
        <f aca="false">M119-O119</f>
        <v>900352.52406</v>
      </c>
      <c r="Q119" s="3" t="s">
        <v>25</v>
      </c>
      <c r="R119" s="3" t="str">
        <f aca="false">TEXT(A119,"YYYY-MM")</f>
        <v>2025-04</v>
      </c>
    </row>
    <row r="120" customFormat="false" ht="15" hidden="false" customHeight="false" outlineLevel="0" collapsed="false">
      <c r="A120" s="2" t="n">
        <v>45757</v>
      </c>
      <c r="B120" s="3" t="s">
        <v>420</v>
      </c>
      <c r="C120" s="3" t="s">
        <v>421</v>
      </c>
      <c r="D120" s="4" t="s">
        <v>422</v>
      </c>
      <c r="E120" s="3" t="s">
        <v>53</v>
      </c>
      <c r="F120" s="4" t="s">
        <v>54</v>
      </c>
      <c r="G120" s="3" t="s">
        <v>31</v>
      </c>
      <c r="H120" s="3" t="s">
        <v>44</v>
      </c>
      <c r="I120" s="5" t="n">
        <v>30</v>
      </c>
      <c r="J120" s="6" t="n">
        <v>6980</v>
      </c>
      <c r="K120" s="7" t="n">
        <f aca="false">I120*J120</f>
        <v>209400</v>
      </c>
      <c r="L120" s="8" t="n">
        <v>0</v>
      </c>
      <c r="M120" s="7" t="n">
        <f aca="false">K120*(1-L120)</f>
        <v>209400</v>
      </c>
      <c r="N120" s="8" t="n">
        <v>0.672</v>
      </c>
      <c r="O120" s="7" t="n">
        <f aca="false">M120*N120</f>
        <v>140716.8</v>
      </c>
      <c r="P120" s="7" t="n">
        <f aca="false">M120-O120</f>
        <v>68683.2</v>
      </c>
      <c r="Q120" s="3" t="s">
        <v>25</v>
      </c>
      <c r="R120" s="3" t="str">
        <f aca="false">TEXT(A120,"YYYY-MM")</f>
        <v>2025-04</v>
      </c>
    </row>
    <row r="121" customFormat="false" ht="15" hidden="false" customHeight="false" outlineLevel="0" collapsed="false">
      <c r="A121" s="2" t="n">
        <v>45759</v>
      </c>
      <c r="B121" s="3" t="s">
        <v>423</v>
      </c>
      <c r="C121" s="3" t="s">
        <v>424</v>
      </c>
      <c r="D121" s="4" t="s">
        <v>425</v>
      </c>
      <c r="E121" s="3" t="s">
        <v>211</v>
      </c>
      <c r="F121" s="4" t="s">
        <v>212</v>
      </c>
      <c r="G121" s="3" t="s">
        <v>23</v>
      </c>
      <c r="H121" s="3" t="s">
        <v>38</v>
      </c>
      <c r="I121" s="5" t="n">
        <v>29</v>
      </c>
      <c r="J121" s="6" t="n">
        <v>13150</v>
      </c>
      <c r="K121" s="7" t="n">
        <f aca="false">I121*J121</f>
        <v>381350</v>
      </c>
      <c r="L121" s="8" t="n">
        <v>0</v>
      </c>
      <c r="M121" s="7" t="n">
        <f aca="false">K121*(1-L121)</f>
        <v>381350</v>
      </c>
      <c r="N121" s="8" t="n">
        <v>0.72</v>
      </c>
      <c r="O121" s="7" t="n">
        <f aca="false">M121*N121</f>
        <v>274572</v>
      </c>
      <c r="P121" s="7" t="n">
        <f aca="false">M121-O121</f>
        <v>106778</v>
      </c>
      <c r="Q121" s="3" t="s">
        <v>25</v>
      </c>
      <c r="R121" s="3" t="str">
        <f aca="false">TEXT(A121,"YYYY-MM")</f>
        <v>2025-04</v>
      </c>
    </row>
    <row r="122" customFormat="false" ht="15" hidden="false" customHeight="false" outlineLevel="0" collapsed="false">
      <c r="A122" s="2" t="n">
        <v>45760</v>
      </c>
      <c r="B122" s="3" t="s">
        <v>426</v>
      </c>
      <c r="C122" s="3" t="s">
        <v>427</v>
      </c>
      <c r="D122" s="4" t="s">
        <v>428</v>
      </c>
      <c r="E122" s="3" t="s">
        <v>94</v>
      </c>
      <c r="F122" s="4" t="s">
        <v>95</v>
      </c>
      <c r="G122" s="3" t="s">
        <v>31</v>
      </c>
      <c r="H122" s="3" t="s">
        <v>44</v>
      </c>
      <c r="I122" s="5" t="n">
        <v>873</v>
      </c>
      <c r="J122" s="6" t="n">
        <v>2860</v>
      </c>
      <c r="K122" s="7" t="n">
        <f aca="false">I122*J122</f>
        <v>2496780</v>
      </c>
      <c r="L122" s="8" t="n">
        <v>0.143</v>
      </c>
      <c r="M122" s="7" t="n">
        <f aca="false">K122*(1-L122)</f>
        <v>2139740.46</v>
      </c>
      <c r="N122" s="8" t="n">
        <v>0.687</v>
      </c>
      <c r="O122" s="7" t="n">
        <f aca="false">M122*N122</f>
        <v>1470001.69602</v>
      </c>
      <c r="P122" s="7" t="n">
        <f aca="false">M122-O122</f>
        <v>669738.76398</v>
      </c>
      <c r="Q122" s="3" t="s">
        <v>25</v>
      </c>
      <c r="R122" s="3" t="str">
        <f aca="false">TEXT(A122,"YYYY-MM")</f>
        <v>2025-04</v>
      </c>
    </row>
    <row r="123" customFormat="false" ht="15" hidden="false" customHeight="false" outlineLevel="0" collapsed="false">
      <c r="A123" s="2" t="n">
        <v>45760</v>
      </c>
      <c r="B123" s="3" t="s">
        <v>429</v>
      </c>
      <c r="C123" s="3" t="s">
        <v>131</v>
      </c>
      <c r="D123" s="4" t="s">
        <v>132</v>
      </c>
      <c r="E123" s="3" t="s">
        <v>172</v>
      </c>
      <c r="F123" s="4" t="s">
        <v>173</v>
      </c>
      <c r="G123" s="3" t="s">
        <v>31</v>
      </c>
      <c r="H123" s="3" t="s">
        <v>44</v>
      </c>
      <c r="I123" s="5" t="n">
        <v>522</v>
      </c>
      <c r="J123" s="6" t="n">
        <v>5730</v>
      </c>
      <c r="K123" s="7" t="n">
        <f aca="false">I123*J123</f>
        <v>2991060</v>
      </c>
      <c r="L123" s="8" t="n">
        <v>0.042</v>
      </c>
      <c r="M123" s="7" t="n">
        <f aca="false">K123*(1-L123)</f>
        <v>2865435.48</v>
      </c>
      <c r="N123" s="8" t="n">
        <v>0.649</v>
      </c>
      <c r="O123" s="7" t="n">
        <f aca="false">M123*N123</f>
        <v>1859667.62652</v>
      </c>
      <c r="P123" s="7" t="n">
        <f aca="false">M123-O123</f>
        <v>1005767.85348</v>
      </c>
      <c r="Q123" s="3" t="s">
        <v>25</v>
      </c>
      <c r="R123" s="3" t="str">
        <f aca="false">TEXT(A123,"YYYY-MM")</f>
        <v>2025-04</v>
      </c>
    </row>
    <row r="124" customFormat="false" ht="15" hidden="false" customHeight="false" outlineLevel="0" collapsed="false">
      <c r="A124" s="2" t="n">
        <v>45760</v>
      </c>
      <c r="B124" s="3" t="s">
        <v>430</v>
      </c>
      <c r="C124" s="3" t="s">
        <v>335</v>
      </c>
      <c r="D124" s="4" t="s">
        <v>237</v>
      </c>
      <c r="E124" s="3" t="s">
        <v>431</v>
      </c>
      <c r="F124" s="4" t="s">
        <v>432</v>
      </c>
      <c r="G124" s="3" t="s">
        <v>151</v>
      </c>
      <c r="H124" s="3" t="s">
        <v>24</v>
      </c>
      <c r="I124" s="5" t="n">
        <v>174</v>
      </c>
      <c r="J124" s="6" t="n">
        <v>21080</v>
      </c>
      <c r="K124" s="7" t="n">
        <f aca="false">I124*J124</f>
        <v>3667920</v>
      </c>
      <c r="L124" s="8" t="n">
        <v>0</v>
      </c>
      <c r="M124" s="7" t="n">
        <f aca="false">K124*(1-L124)</f>
        <v>3667920</v>
      </c>
      <c r="N124" s="8" t="n">
        <v>0.649</v>
      </c>
      <c r="O124" s="7" t="n">
        <f aca="false">M124*N124</f>
        <v>2380480.08</v>
      </c>
      <c r="P124" s="7" t="n">
        <f aca="false">M124-O124</f>
        <v>1287439.92</v>
      </c>
      <c r="Q124" s="3" t="s">
        <v>25</v>
      </c>
      <c r="R124" s="3" t="str">
        <f aca="false">TEXT(A124,"YYYY-MM")</f>
        <v>2025-04</v>
      </c>
    </row>
    <row r="125" customFormat="false" ht="15" hidden="false" customHeight="false" outlineLevel="0" collapsed="false">
      <c r="A125" s="2" t="n">
        <v>45762</v>
      </c>
      <c r="B125" s="3" t="s">
        <v>433</v>
      </c>
      <c r="C125" s="3" t="s">
        <v>284</v>
      </c>
      <c r="D125" s="4" t="s">
        <v>285</v>
      </c>
      <c r="E125" s="3" t="s">
        <v>434</v>
      </c>
      <c r="F125" s="4" t="s">
        <v>435</v>
      </c>
      <c r="G125" s="3" t="s">
        <v>151</v>
      </c>
      <c r="H125" s="3" t="s">
        <v>44</v>
      </c>
      <c r="I125" s="5" t="n">
        <v>238</v>
      </c>
      <c r="J125" s="6" t="n">
        <v>7020</v>
      </c>
      <c r="K125" s="7" t="n">
        <f aca="false">I125*J125</f>
        <v>1670760</v>
      </c>
      <c r="L125" s="8" t="n">
        <v>0</v>
      </c>
      <c r="M125" s="7" t="n">
        <f aca="false">K125*(1-L125)</f>
        <v>1670760</v>
      </c>
      <c r="N125" s="8" t="n">
        <v>0.685</v>
      </c>
      <c r="O125" s="7" t="n">
        <f aca="false">M125*N125</f>
        <v>1144470.6</v>
      </c>
      <c r="P125" s="7" t="n">
        <f aca="false">M125-O125</f>
        <v>526289.4</v>
      </c>
      <c r="Q125" s="3" t="s">
        <v>25</v>
      </c>
      <c r="R125" s="3" t="str">
        <f aca="false">TEXT(A125,"YYYY-MM")</f>
        <v>2025-04</v>
      </c>
    </row>
    <row r="126" customFormat="false" ht="15" hidden="false" customHeight="false" outlineLevel="0" collapsed="false">
      <c r="A126" s="2" t="n">
        <v>45763</v>
      </c>
      <c r="B126" s="3" t="s">
        <v>436</v>
      </c>
      <c r="C126" s="3" t="s">
        <v>381</v>
      </c>
      <c r="D126" s="4" t="s">
        <v>382</v>
      </c>
      <c r="E126" s="3" t="s">
        <v>437</v>
      </c>
      <c r="F126" s="4" t="s">
        <v>438</v>
      </c>
      <c r="G126" s="3" t="s">
        <v>31</v>
      </c>
      <c r="H126" s="3" t="s">
        <v>44</v>
      </c>
      <c r="I126" s="5" t="n">
        <v>47</v>
      </c>
      <c r="J126" s="6" t="n">
        <v>3400</v>
      </c>
      <c r="K126" s="7" t="n">
        <f aca="false">I126*J126</f>
        <v>159800</v>
      </c>
      <c r="L126" s="8" t="n">
        <v>0.049</v>
      </c>
      <c r="M126" s="7" t="n">
        <f aca="false">K126*(1-L126)</f>
        <v>151969.8</v>
      </c>
      <c r="N126" s="8" t="n">
        <v>0.683</v>
      </c>
      <c r="O126" s="7" t="n">
        <f aca="false">M126*N126</f>
        <v>103795.3734</v>
      </c>
      <c r="P126" s="7" t="n">
        <f aca="false">M126-O126</f>
        <v>48174.4266</v>
      </c>
      <c r="Q126" s="3" t="s">
        <v>25</v>
      </c>
      <c r="R126" s="3" t="str">
        <f aca="false">TEXT(A126,"YYYY-MM")</f>
        <v>2025-04</v>
      </c>
    </row>
    <row r="127" customFormat="false" ht="15" hidden="false" customHeight="false" outlineLevel="0" collapsed="false">
      <c r="A127" s="2" t="n">
        <v>45764</v>
      </c>
      <c r="B127" s="3" t="s">
        <v>439</v>
      </c>
      <c r="C127" s="3" t="s">
        <v>332</v>
      </c>
      <c r="D127" s="4" t="s">
        <v>62</v>
      </c>
      <c r="E127" s="3" t="s">
        <v>440</v>
      </c>
      <c r="F127" s="4" t="s">
        <v>441</v>
      </c>
      <c r="G127" s="3" t="s">
        <v>23</v>
      </c>
      <c r="H127" s="3" t="s">
        <v>44</v>
      </c>
      <c r="I127" s="5" t="n">
        <v>103</v>
      </c>
      <c r="J127" s="6" t="n">
        <v>2170</v>
      </c>
      <c r="K127" s="7" t="n">
        <f aca="false">I127*J127</f>
        <v>223510</v>
      </c>
      <c r="L127" s="8" t="n">
        <v>0.003</v>
      </c>
      <c r="M127" s="7" t="n">
        <f aca="false">K127*(1-L127)</f>
        <v>222839.47</v>
      </c>
      <c r="N127" s="8" t="n">
        <v>0.643</v>
      </c>
      <c r="O127" s="7" t="n">
        <f aca="false">M127*N127</f>
        <v>143285.77921</v>
      </c>
      <c r="P127" s="7" t="n">
        <f aca="false">M127-O127</f>
        <v>79553.69079</v>
      </c>
      <c r="Q127" s="3" t="s">
        <v>25</v>
      </c>
      <c r="R127" s="3" t="str">
        <f aca="false">TEXT(A127,"YYYY-MM")</f>
        <v>2025-04</v>
      </c>
    </row>
    <row r="128" customFormat="false" ht="15" hidden="false" customHeight="false" outlineLevel="0" collapsed="false">
      <c r="A128" s="2" t="n">
        <v>45767</v>
      </c>
      <c r="B128" s="3" t="s">
        <v>442</v>
      </c>
      <c r="C128" s="3" t="s">
        <v>443</v>
      </c>
      <c r="D128" s="4" t="s">
        <v>444</v>
      </c>
      <c r="E128" s="3" t="s">
        <v>254</v>
      </c>
      <c r="F128" s="4" t="s">
        <v>255</v>
      </c>
      <c r="G128" s="3" t="s">
        <v>31</v>
      </c>
      <c r="H128" s="3" t="s">
        <v>24</v>
      </c>
      <c r="I128" s="5" t="n">
        <v>470</v>
      </c>
      <c r="J128" s="6" t="n">
        <v>3310</v>
      </c>
      <c r="K128" s="7" t="n">
        <f aca="false">I128*J128</f>
        <v>1555700</v>
      </c>
      <c r="L128" s="8" t="n">
        <v>0.077</v>
      </c>
      <c r="M128" s="7" t="n">
        <f aca="false">K128*(1-L128)</f>
        <v>1435911.1</v>
      </c>
      <c r="N128" s="8" t="n">
        <v>0.704</v>
      </c>
      <c r="O128" s="7" t="n">
        <f aca="false">M128*N128</f>
        <v>1010881.4144</v>
      </c>
      <c r="P128" s="7" t="n">
        <f aca="false">M128-O128</f>
        <v>425029.6856</v>
      </c>
      <c r="Q128" s="3" t="s">
        <v>25</v>
      </c>
      <c r="R128" s="3" t="str">
        <f aca="false">TEXT(A128,"YYYY-MM")</f>
        <v>2025-04</v>
      </c>
    </row>
    <row r="129" customFormat="false" ht="15" hidden="false" customHeight="false" outlineLevel="0" collapsed="false">
      <c r="A129" s="2" t="n">
        <v>45768</v>
      </c>
      <c r="B129" s="3" t="s">
        <v>445</v>
      </c>
      <c r="C129" s="3" t="s">
        <v>123</v>
      </c>
      <c r="D129" s="4" t="s">
        <v>124</v>
      </c>
      <c r="E129" s="3" t="s">
        <v>313</v>
      </c>
      <c r="F129" s="4" t="s">
        <v>314</v>
      </c>
      <c r="G129" s="3" t="s">
        <v>23</v>
      </c>
      <c r="H129" s="3" t="s">
        <v>24</v>
      </c>
      <c r="I129" s="5" t="n">
        <v>746</v>
      </c>
      <c r="J129" s="6" t="n">
        <v>14020</v>
      </c>
      <c r="K129" s="7" t="n">
        <f aca="false">I129*J129</f>
        <v>10458920</v>
      </c>
      <c r="L129" s="8" t="n">
        <v>0.15</v>
      </c>
      <c r="M129" s="7" t="n">
        <f aca="false">K129*(1-L129)</f>
        <v>8890082</v>
      </c>
      <c r="N129" s="8" t="n">
        <v>0.606</v>
      </c>
      <c r="O129" s="7" t="n">
        <f aca="false">M129*N129</f>
        <v>5387389.692</v>
      </c>
      <c r="P129" s="7" t="n">
        <f aca="false">M129-O129</f>
        <v>3502692.308</v>
      </c>
      <c r="Q129" s="3" t="s">
        <v>25</v>
      </c>
      <c r="R129" s="3" t="str">
        <f aca="false">TEXT(A129,"YYYY-MM")</f>
        <v>2025-04</v>
      </c>
    </row>
    <row r="130" customFormat="false" ht="15" hidden="false" customHeight="false" outlineLevel="0" collapsed="false">
      <c r="A130" s="2" t="n">
        <v>45770</v>
      </c>
      <c r="B130" s="3" t="s">
        <v>446</v>
      </c>
      <c r="C130" s="3" t="s">
        <v>284</v>
      </c>
      <c r="D130" s="4" t="s">
        <v>285</v>
      </c>
      <c r="E130" s="3" t="s">
        <v>175</v>
      </c>
      <c r="F130" s="4" t="s">
        <v>176</v>
      </c>
      <c r="G130" s="3" t="s">
        <v>23</v>
      </c>
      <c r="H130" s="3" t="s">
        <v>44</v>
      </c>
      <c r="I130" s="5" t="n">
        <v>187</v>
      </c>
      <c r="J130" s="6" t="n">
        <v>2510</v>
      </c>
      <c r="K130" s="7" t="n">
        <f aca="false">I130*J130</f>
        <v>469370</v>
      </c>
      <c r="L130" s="8" t="n">
        <v>0.035</v>
      </c>
      <c r="M130" s="7" t="n">
        <f aca="false">K130*(1-L130)</f>
        <v>452942.05</v>
      </c>
      <c r="N130" s="8" t="n">
        <v>0.655</v>
      </c>
      <c r="O130" s="7" t="n">
        <f aca="false">M130*N130</f>
        <v>296677.04275</v>
      </c>
      <c r="P130" s="7" t="n">
        <f aca="false">M130-O130</f>
        <v>156265.00725</v>
      </c>
      <c r="Q130" s="3" t="s">
        <v>25</v>
      </c>
      <c r="R130" s="3" t="str">
        <f aca="false">TEXT(A130,"YYYY-MM")</f>
        <v>2025-04</v>
      </c>
    </row>
    <row r="131" customFormat="false" ht="15" hidden="false" customHeight="false" outlineLevel="0" collapsed="false">
      <c r="A131" s="2" t="n">
        <v>45770</v>
      </c>
      <c r="B131" s="3" t="s">
        <v>447</v>
      </c>
      <c r="C131" s="3" t="s">
        <v>448</v>
      </c>
      <c r="D131" s="4" t="s">
        <v>449</v>
      </c>
      <c r="E131" s="3" t="s">
        <v>345</v>
      </c>
      <c r="F131" s="4" t="s">
        <v>346</v>
      </c>
      <c r="G131" s="3" t="s">
        <v>31</v>
      </c>
      <c r="H131" s="3" t="s">
        <v>44</v>
      </c>
      <c r="I131" s="5" t="n">
        <v>574</v>
      </c>
      <c r="J131" s="6" t="n">
        <v>5110</v>
      </c>
      <c r="K131" s="7" t="n">
        <f aca="false">I131*J131</f>
        <v>2933140</v>
      </c>
      <c r="L131" s="8" t="n">
        <v>0.099</v>
      </c>
      <c r="M131" s="7" t="n">
        <f aca="false">K131*(1-L131)</f>
        <v>2642759.14</v>
      </c>
      <c r="N131" s="8" t="n">
        <v>0.692</v>
      </c>
      <c r="O131" s="7" t="n">
        <f aca="false">M131*N131</f>
        <v>1828789.32488</v>
      </c>
      <c r="P131" s="7" t="n">
        <f aca="false">M131-O131</f>
        <v>813969.81512</v>
      </c>
      <c r="Q131" s="3" t="s">
        <v>25</v>
      </c>
      <c r="R131" s="3" t="str">
        <f aca="false">TEXT(A131,"YYYY-MM")</f>
        <v>2025-04</v>
      </c>
    </row>
    <row r="132" customFormat="false" ht="15" hidden="false" customHeight="false" outlineLevel="0" collapsed="false">
      <c r="A132" s="2" t="n">
        <v>45770</v>
      </c>
      <c r="B132" s="3" t="s">
        <v>450</v>
      </c>
      <c r="C132" s="3" t="s">
        <v>451</v>
      </c>
      <c r="D132" s="4" t="s">
        <v>452</v>
      </c>
      <c r="E132" s="3" t="s">
        <v>440</v>
      </c>
      <c r="F132" s="4" t="s">
        <v>441</v>
      </c>
      <c r="G132" s="3" t="s">
        <v>23</v>
      </c>
      <c r="H132" s="3" t="s">
        <v>44</v>
      </c>
      <c r="I132" s="5" t="n">
        <v>584</v>
      </c>
      <c r="J132" s="6" t="n">
        <v>2170</v>
      </c>
      <c r="K132" s="7" t="n">
        <f aca="false">I132*J132</f>
        <v>1267280</v>
      </c>
      <c r="L132" s="8" t="n">
        <v>0.099</v>
      </c>
      <c r="M132" s="7" t="n">
        <f aca="false">K132*(1-L132)</f>
        <v>1141819.28</v>
      </c>
      <c r="N132" s="8" t="n">
        <v>0.647</v>
      </c>
      <c r="O132" s="7" t="n">
        <f aca="false">M132*N132</f>
        <v>738757.07416</v>
      </c>
      <c r="P132" s="7" t="n">
        <f aca="false">M132-O132</f>
        <v>403062.20584</v>
      </c>
      <c r="Q132" s="3" t="s">
        <v>155</v>
      </c>
      <c r="R132" s="3" t="str">
        <f aca="false">TEXT(A132,"YYYY-MM")</f>
        <v>2025-04</v>
      </c>
    </row>
    <row r="133" customFormat="false" ht="15" hidden="false" customHeight="false" outlineLevel="0" collapsed="false">
      <c r="A133" s="2" t="n">
        <v>45772</v>
      </c>
      <c r="B133" s="3" t="s">
        <v>453</v>
      </c>
      <c r="C133" s="3" t="s">
        <v>100</v>
      </c>
      <c r="D133" s="4" t="s">
        <v>101</v>
      </c>
      <c r="E133" s="3" t="s">
        <v>254</v>
      </c>
      <c r="F133" s="4" t="s">
        <v>255</v>
      </c>
      <c r="G133" s="3" t="s">
        <v>31</v>
      </c>
      <c r="H133" s="3" t="s">
        <v>44</v>
      </c>
      <c r="I133" s="5" t="n">
        <v>623</v>
      </c>
      <c r="J133" s="6" t="n">
        <v>3310</v>
      </c>
      <c r="K133" s="7" t="n">
        <f aca="false">I133*J133</f>
        <v>2062130</v>
      </c>
      <c r="L133" s="8" t="n">
        <v>0.136</v>
      </c>
      <c r="M133" s="7" t="n">
        <f aca="false">K133*(1-L133)</f>
        <v>1781680.32</v>
      </c>
      <c r="N133" s="8" t="n">
        <v>0.605</v>
      </c>
      <c r="O133" s="7" t="n">
        <f aca="false">M133*N133</f>
        <v>1077916.5936</v>
      </c>
      <c r="P133" s="7" t="n">
        <f aca="false">M133-O133</f>
        <v>703763.7264</v>
      </c>
      <c r="Q133" s="3" t="s">
        <v>25</v>
      </c>
      <c r="R133" s="3" t="str">
        <f aca="false">TEXT(A133,"YYYY-MM")</f>
        <v>2025-04</v>
      </c>
    </row>
    <row r="134" customFormat="false" ht="15" hidden="false" customHeight="false" outlineLevel="0" collapsed="false">
      <c r="A134" s="2" t="n">
        <v>45772</v>
      </c>
      <c r="B134" s="3" t="s">
        <v>454</v>
      </c>
      <c r="C134" s="3" t="s">
        <v>358</v>
      </c>
      <c r="D134" s="4" t="s">
        <v>359</v>
      </c>
      <c r="E134" s="3" t="s">
        <v>264</v>
      </c>
      <c r="F134" s="4" t="s">
        <v>265</v>
      </c>
      <c r="G134" s="3" t="s">
        <v>23</v>
      </c>
      <c r="H134" s="3" t="s">
        <v>44</v>
      </c>
      <c r="I134" s="5" t="n">
        <v>530</v>
      </c>
      <c r="J134" s="6" t="n">
        <v>14480</v>
      </c>
      <c r="K134" s="7" t="n">
        <f aca="false">I134*J134</f>
        <v>7674400</v>
      </c>
      <c r="L134" s="8" t="n">
        <v>0.085</v>
      </c>
      <c r="M134" s="7" t="n">
        <f aca="false">K134*(1-L134)</f>
        <v>7022076</v>
      </c>
      <c r="N134" s="8" t="n">
        <v>0.609</v>
      </c>
      <c r="O134" s="7" t="n">
        <f aca="false">M134*N134</f>
        <v>4276444.284</v>
      </c>
      <c r="P134" s="7" t="n">
        <f aca="false">M134-O134</f>
        <v>2745631.716</v>
      </c>
      <c r="Q134" s="3" t="s">
        <v>82</v>
      </c>
      <c r="R134" s="3" t="str">
        <f aca="false">TEXT(A134,"YYYY-MM")</f>
        <v>2025-04</v>
      </c>
    </row>
    <row r="135" customFormat="false" ht="15" hidden="false" customHeight="false" outlineLevel="0" collapsed="false">
      <c r="A135" s="2" t="n">
        <v>45773</v>
      </c>
      <c r="B135" s="3" t="s">
        <v>455</v>
      </c>
      <c r="C135" s="3" t="s">
        <v>456</v>
      </c>
      <c r="D135" s="4" t="s">
        <v>457</v>
      </c>
      <c r="E135" s="3" t="s">
        <v>458</v>
      </c>
      <c r="F135" s="4" t="s">
        <v>459</v>
      </c>
      <c r="G135" s="3" t="s">
        <v>37</v>
      </c>
      <c r="H135" s="3" t="s">
        <v>44</v>
      </c>
      <c r="I135" s="5" t="n">
        <v>109</v>
      </c>
      <c r="J135" s="6" t="n">
        <v>18190</v>
      </c>
      <c r="K135" s="7" t="n">
        <f aca="false">I135*J135</f>
        <v>1982710</v>
      </c>
      <c r="L135" s="8" t="n">
        <v>0.025</v>
      </c>
      <c r="M135" s="7" t="n">
        <f aca="false">K135*(1-L135)</f>
        <v>1933142.25</v>
      </c>
      <c r="N135" s="8" t="n">
        <v>0.715</v>
      </c>
      <c r="O135" s="7" t="n">
        <f aca="false">M135*N135</f>
        <v>1382196.70875</v>
      </c>
      <c r="P135" s="7" t="n">
        <f aca="false">M135-O135</f>
        <v>550945.54125</v>
      </c>
      <c r="Q135" s="3" t="s">
        <v>82</v>
      </c>
      <c r="R135" s="3" t="str">
        <f aca="false">TEXT(A135,"YYYY-MM")</f>
        <v>2025-04</v>
      </c>
    </row>
    <row r="136" customFormat="false" ht="15" hidden="false" customHeight="false" outlineLevel="0" collapsed="false">
      <c r="A136" s="2" t="n">
        <v>45776</v>
      </c>
      <c r="B136" s="3" t="s">
        <v>460</v>
      </c>
      <c r="C136" s="3" t="s">
        <v>402</v>
      </c>
      <c r="D136" s="4" t="s">
        <v>403</v>
      </c>
      <c r="E136" s="3" t="s">
        <v>112</v>
      </c>
      <c r="F136" s="4" t="s">
        <v>113</v>
      </c>
      <c r="G136" s="3" t="s">
        <v>31</v>
      </c>
      <c r="H136" s="3" t="s">
        <v>24</v>
      </c>
      <c r="I136" s="5" t="n">
        <v>437</v>
      </c>
      <c r="J136" s="6" t="n">
        <v>3450</v>
      </c>
      <c r="K136" s="7" t="n">
        <f aca="false">I136*J136</f>
        <v>1507650</v>
      </c>
      <c r="L136" s="8" t="n">
        <v>0.047</v>
      </c>
      <c r="M136" s="7" t="n">
        <f aca="false">K136*(1-L136)</f>
        <v>1436790.45</v>
      </c>
      <c r="N136" s="8" t="n">
        <v>0.629</v>
      </c>
      <c r="O136" s="7" t="n">
        <f aca="false">M136*N136</f>
        <v>903741.19305</v>
      </c>
      <c r="P136" s="7" t="n">
        <f aca="false">M136-O136</f>
        <v>533049.25695</v>
      </c>
      <c r="Q136" s="3" t="s">
        <v>25</v>
      </c>
      <c r="R136" s="3" t="str">
        <f aca="false">TEXT(A136,"YYYY-MM")</f>
        <v>2025-04</v>
      </c>
    </row>
    <row r="137" customFormat="false" ht="15" hidden="false" customHeight="false" outlineLevel="0" collapsed="false">
      <c r="A137" s="2" t="n">
        <v>45777</v>
      </c>
      <c r="B137" s="3" t="s">
        <v>461</v>
      </c>
      <c r="C137" s="3" t="s">
        <v>462</v>
      </c>
      <c r="D137" s="4" t="s">
        <v>463</v>
      </c>
      <c r="E137" s="3" t="s">
        <v>246</v>
      </c>
      <c r="F137" s="4" t="s">
        <v>247</v>
      </c>
      <c r="G137" s="3" t="s">
        <v>31</v>
      </c>
      <c r="H137" s="3" t="s">
        <v>24</v>
      </c>
      <c r="I137" s="5" t="n">
        <v>309</v>
      </c>
      <c r="J137" s="6" t="n">
        <v>3180</v>
      </c>
      <c r="K137" s="7" t="n">
        <f aca="false">I137*J137</f>
        <v>982620</v>
      </c>
      <c r="L137" s="8" t="n">
        <v>0.07</v>
      </c>
      <c r="M137" s="7" t="n">
        <f aca="false">K137*(1-L137)</f>
        <v>913836.6</v>
      </c>
      <c r="N137" s="8" t="n">
        <v>0.708</v>
      </c>
      <c r="O137" s="7" t="n">
        <f aca="false">M137*N137</f>
        <v>646996.3128</v>
      </c>
      <c r="P137" s="7" t="n">
        <f aca="false">M137-O137</f>
        <v>266840.2872</v>
      </c>
      <c r="Q137" s="3" t="s">
        <v>25</v>
      </c>
      <c r="R137" s="3" t="str">
        <f aca="false">TEXT(A137,"YYYY-MM")</f>
        <v>2025-04</v>
      </c>
    </row>
    <row r="138" customFormat="false" ht="15" hidden="false" customHeight="false" outlineLevel="0" collapsed="false">
      <c r="A138" s="2" t="n">
        <v>45778</v>
      </c>
      <c r="B138" s="3" t="s">
        <v>464</v>
      </c>
      <c r="C138" s="3" t="s">
        <v>332</v>
      </c>
      <c r="D138" s="4" t="s">
        <v>62</v>
      </c>
      <c r="E138" s="3" t="s">
        <v>75</v>
      </c>
      <c r="F138" s="4" t="s">
        <v>76</v>
      </c>
      <c r="G138" s="3" t="s">
        <v>31</v>
      </c>
      <c r="H138" s="3" t="s">
        <v>44</v>
      </c>
      <c r="I138" s="5" t="n">
        <v>264</v>
      </c>
      <c r="J138" s="6" t="n">
        <v>3600</v>
      </c>
      <c r="K138" s="7" t="n">
        <f aca="false">I138*J138</f>
        <v>950400</v>
      </c>
      <c r="L138" s="8" t="n">
        <v>0</v>
      </c>
      <c r="M138" s="7" t="n">
        <f aca="false">K138*(1-L138)</f>
        <v>950400</v>
      </c>
      <c r="N138" s="8" t="n">
        <v>0.678</v>
      </c>
      <c r="O138" s="7" t="n">
        <f aca="false">M138*N138</f>
        <v>644371.2</v>
      </c>
      <c r="P138" s="7" t="n">
        <f aca="false">M138-O138</f>
        <v>306028.8</v>
      </c>
      <c r="Q138" s="3" t="s">
        <v>25</v>
      </c>
      <c r="R138" s="3" t="str">
        <f aca="false">TEXT(A138,"YYYY-MM")</f>
        <v>2025-05</v>
      </c>
    </row>
    <row r="139" customFormat="false" ht="15" hidden="false" customHeight="false" outlineLevel="0" collapsed="false">
      <c r="A139" s="2" t="n">
        <v>45778</v>
      </c>
      <c r="B139" s="3" t="s">
        <v>465</v>
      </c>
      <c r="C139" s="3" t="s">
        <v>466</v>
      </c>
      <c r="D139" s="4" t="s">
        <v>116</v>
      </c>
      <c r="E139" s="3" t="s">
        <v>431</v>
      </c>
      <c r="F139" s="4" t="s">
        <v>432</v>
      </c>
      <c r="G139" s="3" t="s">
        <v>151</v>
      </c>
      <c r="H139" s="3" t="s">
        <v>44</v>
      </c>
      <c r="I139" s="5" t="n">
        <v>68</v>
      </c>
      <c r="J139" s="6" t="n">
        <v>21080</v>
      </c>
      <c r="K139" s="7" t="n">
        <f aca="false">I139*J139</f>
        <v>1433440</v>
      </c>
      <c r="L139" s="8" t="n">
        <v>0.011</v>
      </c>
      <c r="M139" s="7" t="n">
        <f aca="false">K139*(1-L139)</f>
        <v>1417672.16</v>
      </c>
      <c r="N139" s="8" t="n">
        <v>0.709</v>
      </c>
      <c r="O139" s="7" t="n">
        <f aca="false">M139*N139</f>
        <v>1005129.56144</v>
      </c>
      <c r="P139" s="7" t="n">
        <f aca="false">M139-O139</f>
        <v>412542.59856</v>
      </c>
      <c r="Q139" s="3" t="s">
        <v>82</v>
      </c>
      <c r="R139" s="3" t="str">
        <f aca="false">TEXT(A139,"YYYY-MM")</f>
        <v>2025-05</v>
      </c>
    </row>
    <row r="140" customFormat="false" ht="15" hidden="false" customHeight="false" outlineLevel="0" collapsed="false">
      <c r="A140" s="2" t="n">
        <v>45780</v>
      </c>
      <c r="B140" s="3" t="s">
        <v>467</v>
      </c>
      <c r="C140" s="3" t="s">
        <v>386</v>
      </c>
      <c r="D140" s="4" t="s">
        <v>387</v>
      </c>
      <c r="E140" s="3" t="s">
        <v>468</v>
      </c>
      <c r="F140" s="4" t="s">
        <v>469</v>
      </c>
      <c r="G140" s="3" t="s">
        <v>201</v>
      </c>
      <c r="H140" s="3" t="s">
        <v>24</v>
      </c>
      <c r="I140" s="5" t="n">
        <v>293</v>
      </c>
      <c r="J140" s="6" t="n">
        <v>5420</v>
      </c>
      <c r="K140" s="7" t="n">
        <f aca="false">I140*J140</f>
        <v>1588060</v>
      </c>
      <c r="L140" s="8" t="n">
        <v>0</v>
      </c>
      <c r="M140" s="7" t="n">
        <f aca="false">K140*(1-L140)</f>
        <v>1588060</v>
      </c>
      <c r="N140" s="8" t="n">
        <v>0.642</v>
      </c>
      <c r="O140" s="7" t="n">
        <f aca="false">M140*N140</f>
        <v>1019534.52</v>
      </c>
      <c r="P140" s="7" t="n">
        <f aca="false">M140-O140</f>
        <v>568525.48</v>
      </c>
      <c r="Q140" s="3" t="s">
        <v>25</v>
      </c>
      <c r="R140" s="3" t="str">
        <f aca="false">TEXT(A140,"YYYY-MM")</f>
        <v>2025-05</v>
      </c>
    </row>
    <row r="141" customFormat="false" ht="15" hidden="false" customHeight="false" outlineLevel="0" collapsed="false">
      <c r="A141" s="2" t="n">
        <v>45784</v>
      </c>
      <c r="B141" s="3" t="s">
        <v>470</v>
      </c>
      <c r="C141" s="3" t="s">
        <v>471</v>
      </c>
      <c r="D141" s="4" t="s">
        <v>472</v>
      </c>
      <c r="E141" s="3" t="s">
        <v>473</v>
      </c>
      <c r="F141" s="4" t="s">
        <v>474</v>
      </c>
      <c r="G141" s="3" t="s">
        <v>31</v>
      </c>
      <c r="H141" s="3" t="s">
        <v>38</v>
      </c>
      <c r="I141" s="5" t="n">
        <v>112</v>
      </c>
      <c r="J141" s="6" t="n">
        <v>3410</v>
      </c>
      <c r="K141" s="7" t="n">
        <f aca="false">I141*J141</f>
        <v>381920</v>
      </c>
      <c r="L141" s="8" t="n">
        <v>0</v>
      </c>
      <c r="M141" s="7" t="n">
        <f aca="false">K141*(1-L141)</f>
        <v>381920</v>
      </c>
      <c r="N141" s="8" t="n">
        <v>0.633</v>
      </c>
      <c r="O141" s="7" t="n">
        <f aca="false">M141*N141</f>
        <v>241755.36</v>
      </c>
      <c r="P141" s="7" t="n">
        <f aca="false">M141-O141</f>
        <v>140164.64</v>
      </c>
      <c r="Q141" s="3" t="s">
        <v>25</v>
      </c>
      <c r="R141" s="3" t="str">
        <f aca="false">TEXT(A141,"YYYY-MM")</f>
        <v>2025-05</v>
      </c>
    </row>
    <row r="142" customFormat="false" ht="15" hidden="false" customHeight="false" outlineLevel="0" collapsed="false">
      <c r="A142" s="2" t="n">
        <v>45785</v>
      </c>
      <c r="B142" s="3" t="s">
        <v>475</v>
      </c>
      <c r="C142" s="3" t="s">
        <v>358</v>
      </c>
      <c r="D142" s="4" t="s">
        <v>359</v>
      </c>
      <c r="E142" s="3" t="s">
        <v>473</v>
      </c>
      <c r="F142" s="4" t="s">
        <v>474</v>
      </c>
      <c r="G142" s="3" t="s">
        <v>31</v>
      </c>
      <c r="H142" s="3" t="s">
        <v>44</v>
      </c>
      <c r="I142" s="5" t="n">
        <v>551</v>
      </c>
      <c r="J142" s="6" t="n">
        <v>3410</v>
      </c>
      <c r="K142" s="7" t="n">
        <f aca="false">I142*J142</f>
        <v>1878910</v>
      </c>
      <c r="L142" s="8" t="n">
        <v>0.065</v>
      </c>
      <c r="M142" s="7" t="n">
        <f aca="false">K142*(1-L142)</f>
        <v>1756780.85</v>
      </c>
      <c r="N142" s="8" t="n">
        <v>0.637</v>
      </c>
      <c r="O142" s="7" t="n">
        <f aca="false">M142*N142</f>
        <v>1119069.40145</v>
      </c>
      <c r="P142" s="7" t="n">
        <f aca="false">M142-O142</f>
        <v>637711.44855</v>
      </c>
      <c r="Q142" s="3" t="s">
        <v>25</v>
      </c>
      <c r="R142" s="3" t="str">
        <f aca="false">TEXT(A142,"YYYY-MM")</f>
        <v>2025-05</v>
      </c>
    </row>
    <row r="143" customFormat="false" ht="15" hidden="false" customHeight="false" outlineLevel="0" collapsed="false">
      <c r="A143" s="2" t="n">
        <v>45786</v>
      </c>
      <c r="B143" s="3" t="s">
        <v>476</v>
      </c>
      <c r="C143" s="3" t="s">
        <v>115</v>
      </c>
      <c r="D143" s="4" t="s">
        <v>116</v>
      </c>
      <c r="E143" s="3" t="s">
        <v>80</v>
      </c>
      <c r="F143" s="4" t="s">
        <v>81</v>
      </c>
      <c r="G143" s="3" t="s">
        <v>23</v>
      </c>
      <c r="H143" s="3" t="s">
        <v>44</v>
      </c>
      <c r="I143" s="5" t="n">
        <v>97</v>
      </c>
      <c r="J143" s="6" t="n">
        <v>2400</v>
      </c>
      <c r="K143" s="7" t="n">
        <f aca="false">I143*J143</f>
        <v>232800</v>
      </c>
      <c r="L143" s="8" t="n">
        <v>0</v>
      </c>
      <c r="M143" s="7" t="n">
        <f aca="false">K143*(1-L143)</f>
        <v>232800</v>
      </c>
      <c r="N143" s="8" t="n">
        <v>0.694</v>
      </c>
      <c r="O143" s="7" t="n">
        <f aca="false">M143*N143</f>
        <v>161563.2</v>
      </c>
      <c r="P143" s="7" t="n">
        <f aca="false">M143-O143</f>
        <v>71236.8</v>
      </c>
      <c r="Q143" s="3" t="s">
        <v>25</v>
      </c>
      <c r="R143" s="3" t="str">
        <f aca="false">TEXT(A143,"YYYY-MM")</f>
        <v>2025-05</v>
      </c>
    </row>
    <row r="144" customFormat="false" ht="15" hidden="false" customHeight="false" outlineLevel="0" collapsed="false">
      <c r="A144" s="2" t="n">
        <v>45786</v>
      </c>
      <c r="B144" s="3" t="s">
        <v>477</v>
      </c>
      <c r="C144" s="3" t="s">
        <v>393</v>
      </c>
      <c r="D144" s="4" t="s">
        <v>394</v>
      </c>
      <c r="E144" s="3" t="s">
        <v>300</v>
      </c>
      <c r="F144" s="4" t="s">
        <v>301</v>
      </c>
      <c r="G144" s="3" t="s">
        <v>31</v>
      </c>
      <c r="H144" s="3" t="s">
        <v>44</v>
      </c>
      <c r="I144" s="5" t="n">
        <v>345</v>
      </c>
      <c r="J144" s="6" t="n">
        <v>2020</v>
      </c>
      <c r="K144" s="7" t="n">
        <f aca="false">I144*J144</f>
        <v>696900</v>
      </c>
      <c r="L144" s="8" t="n">
        <v>0.092</v>
      </c>
      <c r="M144" s="7" t="n">
        <f aca="false">K144*(1-L144)</f>
        <v>632785.2</v>
      </c>
      <c r="N144" s="8" t="n">
        <v>0.691</v>
      </c>
      <c r="O144" s="7" t="n">
        <f aca="false">M144*N144</f>
        <v>437254.5732</v>
      </c>
      <c r="P144" s="7" t="n">
        <f aca="false">M144-O144</f>
        <v>195530.6268</v>
      </c>
      <c r="Q144" s="3" t="s">
        <v>25</v>
      </c>
      <c r="R144" s="3" t="str">
        <f aca="false">TEXT(A144,"YYYY-MM")</f>
        <v>2025-05</v>
      </c>
    </row>
    <row r="145" customFormat="false" ht="15" hidden="false" customHeight="false" outlineLevel="0" collapsed="false">
      <c r="A145" s="2" t="n">
        <v>45786</v>
      </c>
      <c r="B145" s="3" t="s">
        <v>478</v>
      </c>
      <c r="C145" s="3" t="s">
        <v>355</v>
      </c>
      <c r="D145" s="4" t="s">
        <v>356</v>
      </c>
      <c r="E145" s="3" t="s">
        <v>479</v>
      </c>
      <c r="F145" s="4" t="s">
        <v>480</v>
      </c>
      <c r="G145" s="3" t="s">
        <v>31</v>
      </c>
      <c r="H145" s="3" t="s">
        <v>44</v>
      </c>
      <c r="I145" s="5" t="n">
        <v>940</v>
      </c>
      <c r="J145" s="6" t="n">
        <v>1950</v>
      </c>
      <c r="K145" s="7" t="n">
        <f aca="false">I145*J145</f>
        <v>1833000</v>
      </c>
      <c r="L145" s="8" t="n">
        <v>0.085</v>
      </c>
      <c r="M145" s="7" t="n">
        <f aca="false">K145*(1-L145)</f>
        <v>1677195</v>
      </c>
      <c r="N145" s="8" t="n">
        <v>0.674</v>
      </c>
      <c r="O145" s="7" t="n">
        <f aca="false">M145*N145</f>
        <v>1130429.43</v>
      </c>
      <c r="P145" s="7" t="n">
        <f aca="false">M145-O145</f>
        <v>546765.57</v>
      </c>
      <c r="Q145" s="3" t="s">
        <v>25</v>
      </c>
      <c r="R145" s="3" t="str">
        <f aca="false">TEXT(A145,"YYYY-MM")</f>
        <v>2025-05</v>
      </c>
    </row>
    <row r="146" customFormat="false" ht="15" hidden="false" customHeight="false" outlineLevel="0" collapsed="false">
      <c r="A146" s="2" t="n">
        <v>45787</v>
      </c>
      <c r="B146" s="3" t="s">
        <v>481</v>
      </c>
      <c r="C146" s="3" t="s">
        <v>456</v>
      </c>
      <c r="D146" s="4" t="s">
        <v>457</v>
      </c>
      <c r="E146" s="3" t="s">
        <v>482</v>
      </c>
      <c r="F146" s="4" t="s">
        <v>483</v>
      </c>
      <c r="G146" s="3" t="s">
        <v>37</v>
      </c>
      <c r="H146" s="3" t="s">
        <v>44</v>
      </c>
      <c r="I146" s="5" t="n">
        <v>66</v>
      </c>
      <c r="J146" s="6" t="n">
        <v>10570</v>
      </c>
      <c r="K146" s="7" t="n">
        <f aca="false">I146*J146</f>
        <v>697620</v>
      </c>
      <c r="L146" s="8" t="n">
        <v>0</v>
      </c>
      <c r="M146" s="7" t="n">
        <f aca="false">K146*(1-L146)</f>
        <v>697620</v>
      </c>
      <c r="N146" s="8" t="n">
        <v>0.6</v>
      </c>
      <c r="O146" s="7" t="n">
        <f aca="false">M146*N146</f>
        <v>418572</v>
      </c>
      <c r="P146" s="7" t="n">
        <f aca="false">M146-O146</f>
        <v>279048</v>
      </c>
      <c r="Q146" s="3" t="s">
        <v>25</v>
      </c>
      <c r="R146" s="3" t="str">
        <f aca="false">TEXT(A146,"YYYY-MM")</f>
        <v>2025-05</v>
      </c>
    </row>
    <row r="147" customFormat="false" ht="15" hidden="false" customHeight="false" outlineLevel="0" collapsed="false">
      <c r="A147" s="2" t="n">
        <v>45788</v>
      </c>
      <c r="B147" s="3" t="s">
        <v>484</v>
      </c>
      <c r="C147" s="3" t="s">
        <v>417</v>
      </c>
      <c r="D147" s="4" t="s">
        <v>418</v>
      </c>
      <c r="E147" s="3" t="s">
        <v>485</v>
      </c>
      <c r="F147" s="4" t="s">
        <v>486</v>
      </c>
      <c r="G147" s="3" t="s">
        <v>31</v>
      </c>
      <c r="H147" s="3" t="s">
        <v>44</v>
      </c>
      <c r="I147" s="5" t="n">
        <v>379</v>
      </c>
      <c r="J147" s="6" t="n">
        <v>1700</v>
      </c>
      <c r="K147" s="7" t="n">
        <f aca="false">I147*J147</f>
        <v>644300</v>
      </c>
      <c r="L147" s="8" t="n">
        <v>0.071</v>
      </c>
      <c r="M147" s="7" t="n">
        <f aca="false">K147*(1-L147)</f>
        <v>598554.7</v>
      </c>
      <c r="N147" s="8" t="n">
        <v>0.69</v>
      </c>
      <c r="O147" s="7" t="n">
        <f aca="false">M147*N147</f>
        <v>413002.743</v>
      </c>
      <c r="P147" s="7" t="n">
        <f aca="false">M147-O147</f>
        <v>185551.957</v>
      </c>
      <c r="Q147" s="3" t="s">
        <v>25</v>
      </c>
      <c r="R147" s="3" t="str">
        <f aca="false">TEXT(A147,"YYYY-MM")</f>
        <v>2025-05</v>
      </c>
    </row>
    <row r="148" customFormat="false" ht="15" hidden="false" customHeight="false" outlineLevel="0" collapsed="false">
      <c r="A148" s="2" t="n">
        <v>45788</v>
      </c>
      <c r="B148" s="3" t="s">
        <v>487</v>
      </c>
      <c r="C148" s="3" t="s">
        <v>189</v>
      </c>
      <c r="D148" s="4" t="s">
        <v>190</v>
      </c>
      <c r="E148" s="3" t="s">
        <v>488</v>
      </c>
      <c r="F148" s="4" t="s">
        <v>489</v>
      </c>
      <c r="G148" s="3" t="s">
        <v>37</v>
      </c>
      <c r="H148" s="3" t="s">
        <v>38</v>
      </c>
      <c r="I148" s="5" t="n">
        <v>293</v>
      </c>
      <c r="J148" s="6" t="n">
        <v>7430</v>
      </c>
      <c r="K148" s="7" t="n">
        <f aca="false">I148*J148</f>
        <v>2176990</v>
      </c>
      <c r="L148" s="8" t="n">
        <v>0.026</v>
      </c>
      <c r="M148" s="7" t="n">
        <f aca="false">K148*(1-L148)</f>
        <v>2120388.26</v>
      </c>
      <c r="N148" s="8" t="n">
        <v>0.669</v>
      </c>
      <c r="O148" s="7" t="n">
        <f aca="false">M148*N148</f>
        <v>1418539.74594</v>
      </c>
      <c r="P148" s="7" t="n">
        <f aca="false">M148-O148</f>
        <v>701848.51406</v>
      </c>
      <c r="Q148" s="3" t="s">
        <v>82</v>
      </c>
      <c r="R148" s="3" t="str">
        <f aca="false">TEXT(A148,"YYYY-MM")</f>
        <v>2025-05</v>
      </c>
    </row>
    <row r="149" customFormat="false" ht="15" hidden="false" customHeight="false" outlineLevel="0" collapsed="false">
      <c r="A149" s="2" t="n">
        <v>45790</v>
      </c>
      <c r="B149" s="3" t="s">
        <v>490</v>
      </c>
      <c r="C149" s="3" t="s">
        <v>214</v>
      </c>
      <c r="D149" s="4" t="s">
        <v>215</v>
      </c>
      <c r="E149" s="3" t="s">
        <v>58</v>
      </c>
      <c r="F149" s="4" t="s">
        <v>59</v>
      </c>
      <c r="G149" s="3" t="s">
        <v>23</v>
      </c>
      <c r="H149" s="3" t="s">
        <v>38</v>
      </c>
      <c r="I149" s="5" t="n">
        <v>915</v>
      </c>
      <c r="J149" s="6" t="n">
        <v>9910</v>
      </c>
      <c r="K149" s="7" t="n">
        <f aca="false">I149*J149</f>
        <v>9067650</v>
      </c>
      <c r="L149" s="8" t="n">
        <v>0.138</v>
      </c>
      <c r="M149" s="7" t="n">
        <f aca="false">K149*(1-L149)</f>
        <v>7816314.3</v>
      </c>
      <c r="N149" s="8" t="n">
        <v>0.636</v>
      </c>
      <c r="O149" s="7" t="n">
        <f aca="false">M149*N149</f>
        <v>4971175.8948</v>
      </c>
      <c r="P149" s="7" t="n">
        <f aca="false">M149-O149</f>
        <v>2845138.4052</v>
      </c>
      <c r="Q149" s="3" t="s">
        <v>25</v>
      </c>
      <c r="R149" s="3" t="str">
        <f aca="false">TEXT(A149,"YYYY-MM")</f>
        <v>2025-05</v>
      </c>
    </row>
    <row r="150" customFormat="false" ht="15" hidden="false" customHeight="false" outlineLevel="0" collapsed="false">
      <c r="A150" s="2" t="n">
        <v>45791</v>
      </c>
      <c r="B150" s="3" t="s">
        <v>491</v>
      </c>
      <c r="C150" s="3" t="s">
        <v>324</v>
      </c>
      <c r="D150" s="4" t="s">
        <v>325</v>
      </c>
      <c r="E150" s="3" t="s">
        <v>75</v>
      </c>
      <c r="F150" s="4" t="s">
        <v>76</v>
      </c>
      <c r="G150" s="3" t="s">
        <v>31</v>
      </c>
      <c r="H150" s="3" t="s">
        <v>44</v>
      </c>
      <c r="I150" s="5" t="n">
        <v>760</v>
      </c>
      <c r="J150" s="6" t="n">
        <v>3600</v>
      </c>
      <c r="K150" s="7" t="n">
        <f aca="false">I150*J150</f>
        <v>2736000</v>
      </c>
      <c r="L150" s="8" t="n">
        <v>0.084</v>
      </c>
      <c r="M150" s="7" t="n">
        <f aca="false">K150*(1-L150)</f>
        <v>2506176</v>
      </c>
      <c r="N150" s="8" t="n">
        <v>0.707</v>
      </c>
      <c r="O150" s="7" t="n">
        <f aca="false">M150*N150</f>
        <v>1771866.432</v>
      </c>
      <c r="P150" s="7" t="n">
        <f aca="false">M150-O150</f>
        <v>734309.568</v>
      </c>
      <c r="Q150" s="3" t="s">
        <v>25</v>
      </c>
      <c r="R150" s="3" t="str">
        <f aca="false">TEXT(A150,"YYYY-MM")</f>
        <v>2025-05</v>
      </c>
    </row>
    <row r="151" customFormat="false" ht="15" hidden="false" customHeight="false" outlineLevel="0" collapsed="false">
      <c r="A151" s="2" t="n">
        <v>45792</v>
      </c>
      <c r="B151" s="3" t="s">
        <v>492</v>
      </c>
      <c r="C151" s="3" t="s">
        <v>493</v>
      </c>
      <c r="D151" s="4" t="s">
        <v>494</v>
      </c>
      <c r="E151" s="3" t="s">
        <v>175</v>
      </c>
      <c r="F151" s="4" t="s">
        <v>176</v>
      </c>
      <c r="G151" s="3" t="s">
        <v>23</v>
      </c>
      <c r="H151" s="3" t="s">
        <v>24</v>
      </c>
      <c r="I151" s="5" t="n">
        <v>182</v>
      </c>
      <c r="J151" s="6" t="n">
        <v>2510</v>
      </c>
      <c r="K151" s="7" t="n">
        <f aca="false">I151*J151</f>
        <v>456820</v>
      </c>
      <c r="L151" s="8" t="n">
        <v>0</v>
      </c>
      <c r="M151" s="7" t="n">
        <f aca="false">K151*(1-L151)</f>
        <v>456820</v>
      </c>
      <c r="N151" s="8" t="n">
        <v>0.668</v>
      </c>
      <c r="O151" s="7" t="n">
        <f aca="false">M151*N151</f>
        <v>305155.76</v>
      </c>
      <c r="P151" s="7" t="n">
        <f aca="false">M151-O151</f>
        <v>151664.24</v>
      </c>
      <c r="Q151" s="3" t="s">
        <v>25</v>
      </c>
      <c r="R151" s="3" t="str">
        <f aca="false">TEXT(A151,"YYYY-MM")</f>
        <v>2025-05</v>
      </c>
    </row>
    <row r="152" customFormat="false" ht="15" hidden="false" customHeight="false" outlineLevel="0" collapsed="false">
      <c r="A152" s="2" t="n">
        <v>45792</v>
      </c>
      <c r="B152" s="3" t="s">
        <v>495</v>
      </c>
      <c r="C152" s="3" t="s">
        <v>194</v>
      </c>
      <c r="D152" s="4" t="s">
        <v>195</v>
      </c>
      <c r="E152" s="3" t="s">
        <v>374</v>
      </c>
      <c r="F152" s="4" t="s">
        <v>375</v>
      </c>
      <c r="G152" s="3" t="s">
        <v>23</v>
      </c>
      <c r="H152" s="3" t="s">
        <v>38</v>
      </c>
      <c r="I152" s="5" t="n">
        <v>379</v>
      </c>
      <c r="J152" s="6" t="n">
        <v>5680</v>
      </c>
      <c r="K152" s="7" t="n">
        <f aca="false">I152*J152</f>
        <v>2152720</v>
      </c>
      <c r="L152" s="8" t="n">
        <v>0.067</v>
      </c>
      <c r="M152" s="7" t="n">
        <f aca="false">K152*(1-L152)</f>
        <v>2008487.76</v>
      </c>
      <c r="N152" s="8" t="n">
        <v>0.679</v>
      </c>
      <c r="O152" s="7" t="n">
        <f aca="false">M152*N152</f>
        <v>1363763.18904</v>
      </c>
      <c r="P152" s="7" t="n">
        <f aca="false">M152-O152</f>
        <v>644724.57096</v>
      </c>
      <c r="Q152" s="3" t="s">
        <v>25</v>
      </c>
      <c r="R152" s="3" t="str">
        <f aca="false">TEXT(A152,"YYYY-MM")</f>
        <v>2025-05</v>
      </c>
    </row>
    <row r="153" customFormat="false" ht="15" hidden="false" customHeight="false" outlineLevel="0" collapsed="false">
      <c r="A153" s="2" t="n">
        <v>45793</v>
      </c>
      <c r="B153" s="3" t="s">
        <v>496</v>
      </c>
      <c r="C153" s="3" t="s">
        <v>497</v>
      </c>
      <c r="D153" s="4" t="s">
        <v>498</v>
      </c>
      <c r="E153" s="3" t="s">
        <v>163</v>
      </c>
      <c r="F153" s="4" t="s">
        <v>164</v>
      </c>
      <c r="G153" s="3" t="s">
        <v>23</v>
      </c>
      <c r="H153" s="3" t="s">
        <v>44</v>
      </c>
      <c r="I153" s="5" t="n">
        <v>327</v>
      </c>
      <c r="J153" s="6" t="n">
        <v>3940</v>
      </c>
      <c r="K153" s="7" t="n">
        <f aca="false">I153*J153</f>
        <v>1288380</v>
      </c>
      <c r="L153" s="8" t="n">
        <v>0.097</v>
      </c>
      <c r="M153" s="7" t="n">
        <f aca="false">K153*(1-L153)</f>
        <v>1163407.14</v>
      </c>
      <c r="N153" s="8" t="n">
        <v>0.602</v>
      </c>
      <c r="O153" s="7" t="n">
        <f aca="false">M153*N153</f>
        <v>700371.09828</v>
      </c>
      <c r="P153" s="7" t="n">
        <f aca="false">M153-O153</f>
        <v>463036.04172</v>
      </c>
      <c r="Q153" s="3" t="s">
        <v>25</v>
      </c>
      <c r="R153" s="3" t="str">
        <f aca="false">TEXT(A153,"YYYY-MM")</f>
        <v>2025-05</v>
      </c>
    </row>
    <row r="154" customFormat="false" ht="15" hidden="false" customHeight="false" outlineLevel="0" collapsed="false">
      <c r="A154" s="2" t="n">
        <v>45793</v>
      </c>
      <c r="B154" s="3" t="s">
        <v>499</v>
      </c>
      <c r="C154" s="3" t="s">
        <v>421</v>
      </c>
      <c r="D154" s="4" t="s">
        <v>422</v>
      </c>
      <c r="E154" s="3" t="s">
        <v>53</v>
      </c>
      <c r="F154" s="4" t="s">
        <v>54</v>
      </c>
      <c r="G154" s="3" t="s">
        <v>31</v>
      </c>
      <c r="H154" s="3" t="s">
        <v>44</v>
      </c>
      <c r="I154" s="5" t="n">
        <v>591</v>
      </c>
      <c r="J154" s="6" t="n">
        <v>6980</v>
      </c>
      <c r="K154" s="7" t="n">
        <f aca="false">I154*J154</f>
        <v>4125180</v>
      </c>
      <c r="L154" s="8" t="n">
        <v>0.054</v>
      </c>
      <c r="M154" s="7" t="n">
        <f aca="false">K154*(1-L154)</f>
        <v>3902420.28</v>
      </c>
      <c r="N154" s="8" t="n">
        <v>0.727</v>
      </c>
      <c r="O154" s="7" t="n">
        <f aca="false">M154*N154</f>
        <v>2837059.54356</v>
      </c>
      <c r="P154" s="7" t="n">
        <f aca="false">M154-O154</f>
        <v>1065360.73644</v>
      </c>
      <c r="Q154" s="3" t="s">
        <v>25</v>
      </c>
      <c r="R154" s="3" t="str">
        <f aca="false">TEXT(A154,"YYYY-MM")</f>
        <v>2025-05</v>
      </c>
    </row>
    <row r="155" customFormat="false" ht="15" hidden="false" customHeight="false" outlineLevel="0" collapsed="false">
      <c r="A155" s="2" t="n">
        <v>45793</v>
      </c>
      <c r="B155" s="3" t="s">
        <v>500</v>
      </c>
      <c r="C155" s="3" t="s">
        <v>19</v>
      </c>
      <c r="D155" s="4" t="s">
        <v>20</v>
      </c>
      <c r="E155" s="3" t="s">
        <v>274</v>
      </c>
      <c r="F155" s="4" t="s">
        <v>275</v>
      </c>
      <c r="G155" s="3" t="s">
        <v>31</v>
      </c>
      <c r="H155" s="3" t="s">
        <v>24</v>
      </c>
      <c r="I155" s="5" t="n">
        <v>808</v>
      </c>
      <c r="J155" s="6" t="n">
        <v>9280</v>
      </c>
      <c r="K155" s="7" t="n">
        <f aca="false">I155*J155</f>
        <v>7498240</v>
      </c>
      <c r="L155" s="8" t="n">
        <v>0.123</v>
      </c>
      <c r="M155" s="7" t="n">
        <f aca="false">K155*(1-L155)</f>
        <v>6575956.48</v>
      </c>
      <c r="N155" s="8" t="n">
        <v>0.734</v>
      </c>
      <c r="O155" s="7" t="n">
        <f aca="false">M155*N155</f>
        <v>4826752.05632</v>
      </c>
      <c r="P155" s="7" t="n">
        <f aca="false">M155-O155</f>
        <v>1749204.42368</v>
      </c>
      <c r="Q155" s="3" t="s">
        <v>25</v>
      </c>
      <c r="R155" s="3" t="str">
        <f aca="false">TEXT(A155,"YYYY-MM")</f>
        <v>2025-05</v>
      </c>
    </row>
    <row r="156" customFormat="false" ht="15" hidden="false" customHeight="false" outlineLevel="0" collapsed="false">
      <c r="A156" s="2" t="n">
        <v>45794</v>
      </c>
      <c r="B156" s="3" t="s">
        <v>501</v>
      </c>
      <c r="C156" s="3" t="s">
        <v>131</v>
      </c>
      <c r="D156" s="4" t="s">
        <v>132</v>
      </c>
      <c r="E156" s="3" t="s">
        <v>29</v>
      </c>
      <c r="F156" s="4" t="s">
        <v>30</v>
      </c>
      <c r="G156" s="3" t="s">
        <v>31</v>
      </c>
      <c r="H156" s="3" t="s">
        <v>44</v>
      </c>
      <c r="I156" s="5" t="n">
        <v>739</v>
      </c>
      <c r="J156" s="6" t="n">
        <v>8000</v>
      </c>
      <c r="K156" s="7" t="n">
        <f aca="false">I156*J156</f>
        <v>5912000</v>
      </c>
      <c r="L156" s="8" t="n">
        <v>0.121</v>
      </c>
      <c r="M156" s="7" t="n">
        <f aca="false">K156*(1-L156)</f>
        <v>5196648</v>
      </c>
      <c r="N156" s="8" t="n">
        <v>0.685</v>
      </c>
      <c r="O156" s="7" t="n">
        <f aca="false">M156*N156</f>
        <v>3559703.88</v>
      </c>
      <c r="P156" s="7" t="n">
        <f aca="false">M156-O156</f>
        <v>1636944.12</v>
      </c>
      <c r="Q156" s="3" t="s">
        <v>25</v>
      </c>
      <c r="R156" s="3" t="str">
        <f aca="false">TEXT(A156,"YYYY-MM")</f>
        <v>2025-05</v>
      </c>
    </row>
    <row r="157" customFormat="false" ht="15" hidden="false" customHeight="false" outlineLevel="0" collapsed="false">
      <c r="A157" s="2" t="n">
        <v>45794</v>
      </c>
      <c r="B157" s="3" t="s">
        <v>502</v>
      </c>
      <c r="C157" s="3" t="s">
        <v>503</v>
      </c>
      <c r="D157" s="4" t="s">
        <v>504</v>
      </c>
      <c r="E157" s="3" t="s">
        <v>479</v>
      </c>
      <c r="F157" s="4" t="s">
        <v>480</v>
      </c>
      <c r="G157" s="3" t="s">
        <v>31</v>
      </c>
      <c r="H157" s="3" t="s">
        <v>24</v>
      </c>
      <c r="I157" s="5" t="n">
        <v>996</v>
      </c>
      <c r="J157" s="6" t="n">
        <v>1950</v>
      </c>
      <c r="K157" s="7" t="n">
        <f aca="false">I157*J157</f>
        <v>1942200</v>
      </c>
      <c r="L157" s="8" t="n">
        <v>0.108</v>
      </c>
      <c r="M157" s="7" t="n">
        <f aca="false">K157*(1-L157)</f>
        <v>1732442.4</v>
      </c>
      <c r="N157" s="8" t="n">
        <v>0.712</v>
      </c>
      <c r="O157" s="7" t="n">
        <f aca="false">M157*N157</f>
        <v>1233498.9888</v>
      </c>
      <c r="P157" s="7" t="n">
        <f aca="false">M157-O157</f>
        <v>498943.4112</v>
      </c>
      <c r="Q157" s="3" t="s">
        <v>25</v>
      </c>
      <c r="R157" s="3" t="str">
        <f aca="false">TEXT(A157,"YYYY-MM")</f>
        <v>2025-05</v>
      </c>
    </row>
    <row r="158" customFormat="false" ht="15" hidden="false" customHeight="false" outlineLevel="0" collapsed="false">
      <c r="A158" s="2" t="n">
        <v>45795</v>
      </c>
      <c r="B158" s="3" t="s">
        <v>505</v>
      </c>
      <c r="C158" s="3" t="s">
        <v>61</v>
      </c>
      <c r="D158" s="4" t="s">
        <v>62</v>
      </c>
      <c r="E158" s="3" t="s">
        <v>143</v>
      </c>
      <c r="F158" s="4" t="s">
        <v>144</v>
      </c>
      <c r="G158" s="3" t="s">
        <v>31</v>
      </c>
      <c r="H158" s="3" t="s">
        <v>44</v>
      </c>
      <c r="I158" s="5" t="n">
        <v>602</v>
      </c>
      <c r="J158" s="6" t="n">
        <v>5060</v>
      </c>
      <c r="K158" s="7" t="n">
        <f aca="false">I158*J158</f>
        <v>3046120</v>
      </c>
      <c r="L158" s="8" t="n">
        <v>0.113</v>
      </c>
      <c r="M158" s="7" t="n">
        <f aca="false">K158*(1-L158)</f>
        <v>2701908.44</v>
      </c>
      <c r="N158" s="8" t="n">
        <v>0.605</v>
      </c>
      <c r="O158" s="7" t="n">
        <f aca="false">M158*N158</f>
        <v>1634654.6062</v>
      </c>
      <c r="P158" s="7" t="n">
        <f aca="false">M158-O158</f>
        <v>1067253.8338</v>
      </c>
      <c r="Q158" s="3" t="s">
        <v>25</v>
      </c>
      <c r="R158" s="3" t="str">
        <f aca="false">TEXT(A158,"YYYY-MM")</f>
        <v>2025-05</v>
      </c>
    </row>
    <row r="159" customFormat="false" ht="15" hidden="false" customHeight="false" outlineLevel="0" collapsed="false">
      <c r="A159" s="2" t="n">
        <v>45795</v>
      </c>
      <c r="B159" s="3" t="s">
        <v>506</v>
      </c>
      <c r="C159" s="3" t="s">
        <v>324</v>
      </c>
      <c r="D159" s="4" t="s">
        <v>325</v>
      </c>
      <c r="E159" s="3" t="s">
        <v>274</v>
      </c>
      <c r="F159" s="4" t="s">
        <v>275</v>
      </c>
      <c r="G159" s="3" t="s">
        <v>31</v>
      </c>
      <c r="H159" s="3" t="s">
        <v>44</v>
      </c>
      <c r="I159" s="5" t="n">
        <v>552</v>
      </c>
      <c r="J159" s="6" t="n">
        <v>9280</v>
      </c>
      <c r="K159" s="7" t="n">
        <f aca="false">I159*J159</f>
        <v>5122560</v>
      </c>
      <c r="L159" s="8" t="n">
        <v>0.05</v>
      </c>
      <c r="M159" s="7" t="n">
        <f aca="false">K159*(1-L159)</f>
        <v>4866432</v>
      </c>
      <c r="N159" s="8" t="n">
        <v>0.688</v>
      </c>
      <c r="O159" s="7" t="n">
        <f aca="false">M159*N159</f>
        <v>3348105.216</v>
      </c>
      <c r="P159" s="7" t="n">
        <f aca="false">M159-O159</f>
        <v>1518326.784</v>
      </c>
      <c r="Q159" s="3" t="s">
        <v>25</v>
      </c>
      <c r="R159" s="3" t="str">
        <f aca="false">TEXT(A159,"YYYY-MM")</f>
        <v>2025-05</v>
      </c>
    </row>
    <row r="160" customFormat="false" ht="15" hidden="false" customHeight="false" outlineLevel="0" collapsed="false">
      <c r="A160" s="2" t="n">
        <v>45796</v>
      </c>
      <c r="B160" s="3" t="s">
        <v>507</v>
      </c>
      <c r="C160" s="3" t="s">
        <v>303</v>
      </c>
      <c r="D160" s="4" t="s">
        <v>258</v>
      </c>
      <c r="E160" s="3" t="s">
        <v>508</v>
      </c>
      <c r="F160" s="4" t="s">
        <v>509</v>
      </c>
      <c r="G160" s="3" t="s">
        <v>37</v>
      </c>
      <c r="H160" s="3" t="s">
        <v>38</v>
      </c>
      <c r="I160" s="5" t="n">
        <v>332</v>
      </c>
      <c r="J160" s="6" t="n">
        <v>4110</v>
      </c>
      <c r="K160" s="7" t="n">
        <f aca="false">I160*J160</f>
        <v>1364520</v>
      </c>
      <c r="L160" s="8" t="n">
        <v>0.083</v>
      </c>
      <c r="M160" s="7" t="n">
        <f aca="false">K160*(1-L160)</f>
        <v>1251264.84</v>
      </c>
      <c r="N160" s="8" t="n">
        <v>0.723</v>
      </c>
      <c r="O160" s="7" t="n">
        <f aca="false">M160*N160</f>
        <v>904664.47932</v>
      </c>
      <c r="P160" s="7" t="n">
        <f aca="false">M160-O160</f>
        <v>346600.36068</v>
      </c>
      <c r="Q160" s="3" t="s">
        <v>82</v>
      </c>
      <c r="R160" s="3" t="str">
        <f aca="false">TEXT(A160,"YYYY-MM")</f>
        <v>2025-05</v>
      </c>
    </row>
    <row r="161" customFormat="false" ht="15" hidden="false" customHeight="false" outlineLevel="0" collapsed="false">
      <c r="A161" s="2" t="n">
        <v>45796</v>
      </c>
      <c r="B161" s="3" t="s">
        <v>510</v>
      </c>
      <c r="C161" s="3" t="s">
        <v>33</v>
      </c>
      <c r="D161" s="4" t="s">
        <v>34</v>
      </c>
      <c r="E161" s="3" t="s">
        <v>53</v>
      </c>
      <c r="F161" s="4" t="s">
        <v>54</v>
      </c>
      <c r="G161" s="3" t="s">
        <v>31</v>
      </c>
      <c r="H161" s="3" t="s">
        <v>38</v>
      </c>
      <c r="I161" s="5" t="n">
        <v>973</v>
      </c>
      <c r="J161" s="6" t="n">
        <v>6980</v>
      </c>
      <c r="K161" s="7" t="n">
        <f aca="false">I161*J161</f>
        <v>6791540</v>
      </c>
      <c r="L161" s="8" t="n">
        <v>0.128</v>
      </c>
      <c r="M161" s="7" t="n">
        <f aca="false">K161*(1-L161)</f>
        <v>5922222.88</v>
      </c>
      <c r="N161" s="8" t="n">
        <v>0.74</v>
      </c>
      <c r="O161" s="7" t="n">
        <f aca="false">M161*N161</f>
        <v>4382444.9312</v>
      </c>
      <c r="P161" s="7" t="n">
        <f aca="false">M161-O161</f>
        <v>1539777.9488</v>
      </c>
      <c r="Q161" s="3" t="s">
        <v>25</v>
      </c>
      <c r="R161" s="3" t="str">
        <f aca="false">TEXT(A161,"YYYY-MM")</f>
        <v>2025-05</v>
      </c>
    </row>
    <row r="162" customFormat="false" ht="15" hidden="false" customHeight="false" outlineLevel="0" collapsed="false">
      <c r="A162" s="2" t="n">
        <v>45797</v>
      </c>
      <c r="B162" s="3" t="s">
        <v>511</v>
      </c>
      <c r="C162" s="3" t="s">
        <v>136</v>
      </c>
      <c r="D162" s="4" t="s">
        <v>137</v>
      </c>
      <c r="E162" s="3" t="s">
        <v>264</v>
      </c>
      <c r="F162" s="4" t="s">
        <v>265</v>
      </c>
      <c r="G162" s="3" t="s">
        <v>23</v>
      </c>
      <c r="H162" s="3" t="s">
        <v>24</v>
      </c>
      <c r="I162" s="5" t="n">
        <v>709</v>
      </c>
      <c r="J162" s="6" t="n">
        <v>14480</v>
      </c>
      <c r="K162" s="7" t="n">
        <f aca="false">I162*J162</f>
        <v>10266320</v>
      </c>
      <c r="L162" s="8" t="n">
        <v>0.099</v>
      </c>
      <c r="M162" s="7" t="n">
        <f aca="false">K162*(1-L162)</f>
        <v>9249954.32</v>
      </c>
      <c r="N162" s="8" t="n">
        <v>0.703</v>
      </c>
      <c r="O162" s="7" t="n">
        <f aca="false">M162*N162</f>
        <v>6502717.88696</v>
      </c>
      <c r="P162" s="7" t="n">
        <f aca="false">M162-O162</f>
        <v>2747236.43304</v>
      </c>
      <c r="Q162" s="3" t="s">
        <v>25</v>
      </c>
      <c r="R162" s="3" t="str">
        <f aca="false">TEXT(A162,"YYYY-MM")</f>
        <v>2025-05</v>
      </c>
    </row>
    <row r="163" customFormat="false" ht="15" hidden="false" customHeight="false" outlineLevel="0" collapsed="false">
      <c r="A163" s="2" t="n">
        <v>45798</v>
      </c>
      <c r="B163" s="3" t="s">
        <v>512</v>
      </c>
      <c r="C163" s="3" t="s">
        <v>497</v>
      </c>
      <c r="D163" s="4" t="s">
        <v>498</v>
      </c>
      <c r="E163" s="3" t="s">
        <v>246</v>
      </c>
      <c r="F163" s="4" t="s">
        <v>247</v>
      </c>
      <c r="G163" s="3" t="s">
        <v>31</v>
      </c>
      <c r="H163" s="3" t="s">
        <v>44</v>
      </c>
      <c r="I163" s="5" t="n">
        <v>432</v>
      </c>
      <c r="J163" s="6" t="n">
        <v>3180</v>
      </c>
      <c r="K163" s="7" t="n">
        <f aca="false">I163*J163</f>
        <v>1373760</v>
      </c>
      <c r="L163" s="8" t="n">
        <v>0.064</v>
      </c>
      <c r="M163" s="7" t="n">
        <f aca="false">K163*(1-L163)</f>
        <v>1285839.36</v>
      </c>
      <c r="N163" s="8" t="n">
        <v>0.727</v>
      </c>
      <c r="O163" s="7" t="n">
        <f aca="false">M163*N163</f>
        <v>934805.21472</v>
      </c>
      <c r="P163" s="7" t="n">
        <f aca="false">M163-O163</f>
        <v>351034.14528</v>
      </c>
      <c r="Q163" s="3" t="s">
        <v>25</v>
      </c>
      <c r="R163" s="3" t="str">
        <f aca="false">TEXT(A163,"YYYY-MM")</f>
        <v>2025-05</v>
      </c>
    </row>
    <row r="164" customFormat="false" ht="15" hidden="false" customHeight="false" outlineLevel="0" collapsed="false">
      <c r="A164" s="2" t="n">
        <v>45799</v>
      </c>
      <c r="B164" s="3" t="s">
        <v>513</v>
      </c>
      <c r="C164" s="3" t="s">
        <v>421</v>
      </c>
      <c r="D164" s="4" t="s">
        <v>422</v>
      </c>
      <c r="E164" s="3" t="s">
        <v>58</v>
      </c>
      <c r="F164" s="4" t="s">
        <v>59</v>
      </c>
      <c r="G164" s="3" t="s">
        <v>23</v>
      </c>
      <c r="H164" s="3" t="s">
        <v>44</v>
      </c>
      <c r="I164" s="5" t="n">
        <v>482</v>
      </c>
      <c r="J164" s="6" t="n">
        <v>9910</v>
      </c>
      <c r="K164" s="7" t="n">
        <f aca="false">I164*J164</f>
        <v>4776620</v>
      </c>
      <c r="L164" s="8" t="n">
        <v>0.068</v>
      </c>
      <c r="M164" s="7" t="n">
        <f aca="false">K164*(1-L164)</f>
        <v>4451809.84</v>
      </c>
      <c r="N164" s="8" t="n">
        <v>0.654</v>
      </c>
      <c r="O164" s="7" t="n">
        <f aca="false">M164*N164</f>
        <v>2911483.63536</v>
      </c>
      <c r="P164" s="7" t="n">
        <f aca="false">M164-O164</f>
        <v>1540326.20464</v>
      </c>
      <c r="Q164" s="3" t="s">
        <v>155</v>
      </c>
      <c r="R164" s="3" t="str">
        <f aca="false">TEXT(A164,"YYYY-MM")</f>
        <v>2025-05</v>
      </c>
    </row>
    <row r="165" customFormat="false" ht="15" hidden="false" customHeight="false" outlineLevel="0" collapsed="false">
      <c r="A165" s="2" t="n">
        <v>45799</v>
      </c>
      <c r="B165" s="3" t="s">
        <v>514</v>
      </c>
      <c r="C165" s="3" t="s">
        <v>161</v>
      </c>
      <c r="D165" s="4" t="s">
        <v>162</v>
      </c>
      <c r="E165" s="3" t="s">
        <v>183</v>
      </c>
      <c r="F165" s="4" t="s">
        <v>184</v>
      </c>
      <c r="G165" s="3" t="s">
        <v>31</v>
      </c>
      <c r="H165" s="3" t="s">
        <v>24</v>
      </c>
      <c r="I165" s="5" t="n">
        <v>903</v>
      </c>
      <c r="J165" s="6" t="n">
        <v>8670</v>
      </c>
      <c r="K165" s="7" t="n">
        <f aca="false">I165*J165</f>
        <v>7829010</v>
      </c>
      <c r="L165" s="8" t="n">
        <v>0.115</v>
      </c>
      <c r="M165" s="7" t="n">
        <f aca="false">K165*(1-L165)</f>
        <v>6928673.85</v>
      </c>
      <c r="N165" s="8" t="n">
        <v>0.63</v>
      </c>
      <c r="O165" s="7" t="n">
        <f aca="false">M165*N165</f>
        <v>4365064.5255</v>
      </c>
      <c r="P165" s="7" t="n">
        <f aca="false">M165-O165</f>
        <v>2563609.3245</v>
      </c>
      <c r="Q165" s="3" t="s">
        <v>25</v>
      </c>
      <c r="R165" s="3" t="str">
        <f aca="false">TEXT(A165,"YYYY-MM")</f>
        <v>2025-05</v>
      </c>
    </row>
    <row r="166" customFormat="false" ht="15" hidden="false" customHeight="false" outlineLevel="0" collapsed="false">
      <c r="A166" s="2" t="n">
        <v>45800</v>
      </c>
      <c r="B166" s="3" t="s">
        <v>515</v>
      </c>
      <c r="C166" s="3" t="s">
        <v>355</v>
      </c>
      <c r="D166" s="4" t="s">
        <v>356</v>
      </c>
      <c r="E166" s="3" t="s">
        <v>158</v>
      </c>
      <c r="F166" s="4" t="s">
        <v>159</v>
      </c>
      <c r="G166" s="3" t="s">
        <v>23</v>
      </c>
      <c r="H166" s="3" t="s">
        <v>44</v>
      </c>
      <c r="I166" s="5" t="n">
        <v>462</v>
      </c>
      <c r="J166" s="6" t="n">
        <v>13910</v>
      </c>
      <c r="K166" s="7" t="n">
        <f aca="false">I166*J166</f>
        <v>6426420</v>
      </c>
      <c r="L166" s="8" t="n">
        <v>0.087</v>
      </c>
      <c r="M166" s="7" t="n">
        <f aca="false">K166*(1-L166)</f>
        <v>5867321.46</v>
      </c>
      <c r="N166" s="8" t="n">
        <v>0.643</v>
      </c>
      <c r="O166" s="7" t="n">
        <f aca="false">M166*N166</f>
        <v>3772687.69878</v>
      </c>
      <c r="P166" s="7" t="n">
        <f aca="false">M166-O166</f>
        <v>2094633.76122</v>
      </c>
      <c r="Q166" s="3" t="s">
        <v>25</v>
      </c>
      <c r="R166" s="3" t="str">
        <f aca="false">TEXT(A166,"YYYY-MM")</f>
        <v>2025-05</v>
      </c>
    </row>
    <row r="167" customFormat="false" ht="15" hidden="false" customHeight="false" outlineLevel="0" collapsed="false">
      <c r="A167" s="2" t="n">
        <v>45800</v>
      </c>
      <c r="B167" s="3" t="s">
        <v>516</v>
      </c>
      <c r="C167" s="3" t="s">
        <v>517</v>
      </c>
      <c r="D167" s="4" t="s">
        <v>428</v>
      </c>
      <c r="E167" s="3" t="s">
        <v>246</v>
      </c>
      <c r="F167" s="4" t="s">
        <v>247</v>
      </c>
      <c r="G167" s="3" t="s">
        <v>31</v>
      </c>
      <c r="H167" s="3" t="s">
        <v>44</v>
      </c>
      <c r="I167" s="5" t="n">
        <v>790</v>
      </c>
      <c r="J167" s="6" t="n">
        <v>3180</v>
      </c>
      <c r="K167" s="7" t="n">
        <f aca="false">I167*J167</f>
        <v>2512200</v>
      </c>
      <c r="L167" s="8" t="n">
        <v>0.14</v>
      </c>
      <c r="M167" s="7" t="n">
        <f aca="false">K167*(1-L167)</f>
        <v>2160492</v>
      </c>
      <c r="N167" s="8" t="n">
        <v>0.689</v>
      </c>
      <c r="O167" s="7" t="n">
        <f aca="false">M167*N167</f>
        <v>1488578.988</v>
      </c>
      <c r="P167" s="7" t="n">
        <f aca="false">M167-O167</f>
        <v>671913.012</v>
      </c>
      <c r="Q167" s="3" t="s">
        <v>155</v>
      </c>
      <c r="R167" s="3" t="str">
        <f aca="false">TEXT(A167,"YYYY-MM")</f>
        <v>2025-05</v>
      </c>
    </row>
    <row r="168" customFormat="false" ht="15" hidden="false" customHeight="false" outlineLevel="0" collapsed="false">
      <c r="A168" s="2" t="n">
        <v>45801</v>
      </c>
      <c r="B168" s="3" t="s">
        <v>518</v>
      </c>
      <c r="C168" s="3" t="s">
        <v>51</v>
      </c>
      <c r="D168" s="4" t="s">
        <v>52</v>
      </c>
      <c r="E168" s="3" t="s">
        <v>246</v>
      </c>
      <c r="F168" s="4" t="s">
        <v>247</v>
      </c>
      <c r="G168" s="3" t="s">
        <v>31</v>
      </c>
      <c r="H168" s="3" t="s">
        <v>44</v>
      </c>
      <c r="I168" s="5" t="n">
        <v>886</v>
      </c>
      <c r="J168" s="6" t="n">
        <v>3180</v>
      </c>
      <c r="K168" s="7" t="n">
        <f aca="false">I168*J168</f>
        <v>2817480</v>
      </c>
      <c r="L168" s="8" t="n">
        <v>0.143</v>
      </c>
      <c r="M168" s="7" t="n">
        <f aca="false">K168*(1-L168)</f>
        <v>2414580.36</v>
      </c>
      <c r="N168" s="8" t="n">
        <v>0.691</v>
      </c>
      <c r="O168" s="7" t="n">
        <f aca="false">M168*N168</f>
        <v>1668475.02876</v>
      </c>
      <c r="P168" s="7" t="n">
        <f aca="false">M168-O168</f>
        <v>746105.33124</v>
      </c>
      <c r="Q168" s="3" t="s">
        <v>25</v>
      </c>
      <c r="R168" s="3" t="str">
        <f aca="false">TEXT(A168,"YYYY-MM")</f>
        <v>2025-05</v>
      </c>
    </row>
    <row r="169" customFormat="false" ht="15" hidden="false" customHeight="false" outlineLevel="0" collapsed="false">
      <c r="A169" s="2" t="n">
        <v>45802</v>
      </c>
      <c r="B169" s="3" t="s">
        <v>519</v>
      </c>
      <c r="C169" s="3" t="s">
        <v>249</v>
      </c>
      <c r="D169" s="4" t="s">
        <v>250</v>
      </c>
      <c r="E169" s="3" t="s">
        <v>94</v>
      </c>
      <c r="F169" s="4" t="s">
        <v>95</v>
      </c>
      <c r="G169" s="3" t="s">
        <v>31</v>
      </c>
      <c r="H169" s="3" t="s">
        <v>44</v>
      </c>
      <c r="I169" s="5" t="n">
        <v>253</v>
      </c>
      <c r="J169" s="6" t="n">
        <v>2860</v>
      </c>
      <c r="K169" s="7" t="n">
        <f aca="false">I169*J169</f>
        <v>723580</v>
      </c>
      <c r="L169" s="8" t="n">
        <v>0</v>
      </c>
      <c r="M169" s="7" t="n">
        <f aca="false">K169*(1-L169)</f>
        <v>723580</v>
      </c>
      <c r="N169" s="8" t="n">
        <v>0.664</v>
      </c>
      <c r="O169" s="7" t="n">
        <f aca="false">M169*N169</f>
        <v>480457.12</v>
      </c>
      <c r="P169" s="7" t="n">
        <f aca="false">M169-O169</f>
        <v>243122.88</v>
      </c>
      <c r="Q169" s="3" t="s">
        <v>25</v>
      </c>
      <c r="R169" s="3" t="str">
        <f aca="false">TEXT(A169,"YYYY-MM")</f>
        <v>2025-05</v>
      </c>
    </row>
    <row r="170" customFormat="false" ht="15" hidden="false" customHeight="false" outlineLevel="0" collapsed="false">
      <c r="A170" s="2" t="n">
        <v>45803</v>
      </c>
      <c r="B170" s="3" t="s">
        <v>520</v>
      </c>
      <c r="C170" s="3" t="s">
        <v>497</v>
      </c>
      <c r="D170" s="4" t="s">
        <v>498</v>
      </c>
      <c r="E170" s="3" t="s">
        <v>521</v>
      </c>
      <c r="F170" s="4" t="s">
        <v>522</v>
      </c>
      <c r="G170" s="3" t="s">
        <v>37</v>
      </c>
      <c r="H170" s="3" t="s">
        <v>44</v>
      </c>
      <c r="I170" s="5" t="n">
        <v>142</v>
      </c>
      <c r="J170" s="6" t="n">
        <v>6000</v>
      </c>
      <c r="K170" s="7" t="n">
        <f aca="false">I170*J170</f>
        <v>852000</v>
      </c>
      <c r="L170" s="8" t="n">
        <v>0</v>
      </c>
      <c r="M170" s="7" t="n">
        <f aca="false">K170*(1-L170)</f>
        <v>852000</v>
      </c>
      <c r="N170" s="8" t="n">
        <v>0.624</v>
      </c>
      <c r="O170" s="7" t="n">
        <f aca="false">M170*N170</f>
        <v>531648</v>
      </c>
      <c r="P170" s="7" t="n">
        <f aca="false">M170-O170</f>
        <v>320352</v>
      </c>
      <c r="Q170" s="3" t="s">
        <v>25</v>
      </c>
      <c r="R170" s="3" t="str">
        <f aca="false">TEXT(A170,"YYYY-MM")</f>
        <v>2025-05</v>
      </c>
    </row>
    <row r="171" customFormat="false" ht="15" hidden="false" customHeight="false" outlineLevel="0" collapsed="false">
      <c r="A171" s="2" t="n">
        <v>45803</v>
      </c>
      <c r="B171" s="3" t="s">
        <v>523</v>
      </c>
      <c r="C171" s="3" t="s">
        <v>524</v>
      </c>
      <c r="D171" s="4" t="s">
        <v>525</v>
      </c>
      <c r="E171" s="3" t="s">
        <v>473</v>
      </c>
      <c r="F171" s="4" t="s">
        <v>474</v>
      </c>
      <c r="G171" s="3" t="s">
        <v>31</v>
      </c>
      <c r="H171" s="3" t="s">
        <v>24</v>
      </c>
      <c r="I171" s="5" t="n">
        <v>446</v>
      </c>
      <c r="J171" s="6" t="n">
        <v>3410</v>
      </c>
      <c r="K171" s="7" t="n">
        <f aca="false">I171*J171</f>
        <v>1520860</v>
      </c>
      <c r="L171" s="8" t="n">
        <v>0.051</v>
      </c>
      <c r="M171" s="7" t="n">
        <f aca="false">K171*(1-L171)</f>
        <v>1443296.14</v>
      </c>
      <c r="N171" s="8" t="n">
        <v>0.607</v>
      </c>
      <c r="O171" s="7" t="n">
        <f aca="false">M171*N171</f>
        <v>876080.75698</v>
      </c>
      <c r="P171" s="7" t="n">
        <f aca="false">M171-O171</f>
        <v>567215.38302</v>
      </c>
      <c r="Q171" s="3" t="s">
        <v>25</v>
      </c>
      <c r="R171" s="3" t="str">
        <f aca="false">TEXT(A171,"YYYY-MM")</f>
        <v>2025-05</v>
      </c>
    </row>
    <row r="172" customFormat="false" ht="15" hidden="false" customHeight="false" outlineLevel="0" collapsed="false">
      <c r="A172" s="2" t="n">
        <v>45806</v>
      </c>
      <c r="B172" s="3" t="s">
        <v>526</v>
      </c>
      <c r="C172" s="3" t="s">
        <v>89</v>
      </c>
      <c r="D172" s="4" t="s">
        <v>90</v>
      </c>
      <c r="E172" s="3" t="s">
        <v>527</v>
      </c>
      <c r="F172" s="4" t="s">
        <v>528</v>
      </c>
      <c r="G172" s="3" t="s">
        <v>37</v>
      </c>
      <c r="H172" s="3" t="s">
        <v>38</v>
      </c>
      <c r="I172" s="5" t="n">
        <v>138</v>
      </c>
      <c r="J172" s="6" t="n">
        <v>1580</v>
      </c>
      <c r="K172" s="7" t="n">
        <f aca="false">I172*J172</f>
        <v>218040</v>
      </c>
      <c r="L172" s="8" t="n">
        <v>0</v>
      </c>
      <c r="M172" s="7" t="n">
        <f aca="false">K172*(1-L172)</f>
        <v>218040</v>
      </c>
      <c r="N172" s="8" t="n">
        <v>0.706</v>
      </c>
      <c r="O172" s="7" t="n">
        <f aca="false">M172*N172</f>
        <v>153936.24</v>
      </c>
      <c r="P172" s="7" t="n">
        <f aca="false">M172-O172</f>
        <v>64103.76</v>
      </c>
      <c r="Q172" s="3" t="s">
        <v>25</v>
      </c>
      <c r="R172" s="3" t="str">
        <f aca="false">TEXT(A172,"YYYY-MM")</f>
        <v>2025-05</v>
      </c>
    </row>
    <row r="173" customFormat="false" ht="15" hidden="false" customHeight="false" outlineLevel="0" collapsed="false">
      <c r="A173" s="2" t="n">
        <v>45807</v>
      </c>
      <c r="B173" s="3" t="s">
        <v>529</v>
      </c>
      <c r="C173" s="3" t="s">
        <v>530</v>
      </c>
      <c r="D173" s="4" t="s">
        <v>531</v>
      </c>
      <c r="E173" s="3" t="s">
        <v>383</v>
      </c>
      <c r="F173" s="4" t="s">
        <v>384</v>
      </c>
      <c r="G173" s="3" t="s">
        <v>31</v>
      </c>
      <c r="H173" s="3" t="s">
        <v>24</v>
      </c>
      <c r="I173" s="5" t="n">
        <v>467</v>
      </c>
      <c r="J173" s="6" t="n">
        <v>8630</v>
      </c>
      <c r="K173" s="7" t="n">
        <f aca="false">I173*J173</f>
        <v>4030210</v>
      </c>
      <c r="L173" s="8" t="n">
        <v>0.051</v>
      </c>
      <c r="M173" s="7" t="n">
        <f aca="false">K173*(1-L173)</f>
        <v>3824669.29</v>
      </c>
      <c r="N173" s="8" t="n">
        <v>0.691</v>
      </c>
      <c r="O173" s="7" t="n">
        <f aca="false">M173*N173</f>
        <v>2642846.47939</v>
      </c>
      <c r="P173" s="7" t="n">
        <f aca="false">M173-O173</f>
        <v>1181822.81061</v>
      </c>
      <c r="Q173" s="3" t="s">
        <v>82</v>
      </c>
      <c r="R173" s="3" t="str">
        <f aca="false">TEXT(A173,"YYYY-MM")</f>
        <v>2025-05</v>
      </c>
    </row>
    <row r="174" customFormat="false" ht="15" hidden="false" customHeight="false" outlineLevel="0" collapsed="false">
      <c r="A174" s="2" t="n">
        <v>45808</v>
      </c>
      <c r="B174" s="3" t="s">
        <v>532</v>
      </c>
      <c r="C174" s="3" t="s">
        <v>533</v>
      </c>
      <c r="D174" s="4" t="s">
        <v>534</v>
      </c>
      <c r="E174" s="3" t="s">
        <v>264</v>
      </c>
      <c r="F174" s="4" t="s">
        <v>265</v>
      </c>
      <c r="G174" s="3" t="s">
        <v>23</v>
      </c>
      <c r="H174" s="3" t="s">
        <v>24</v>
      </c>
      <c r="I174" s="5" t="n">
        <v>42</v>
      </c>
      <c r="J174" s="6" t="n">
        <v>14480</v>
      </c>
      <c r="K174" s="7" t="n">
        <f aca="false">I174*J174</f>
        <v>608160</v>
      </c>
      <c r="L174" s="8" t="n">
        <v>0.006</v>
      </c>
      <c r="M174" s="7" t="n">
        <f aca="false">K174*(1-L174)</f>
        <v>604511.04</v>
      </c>
      <c r="N174" s="8" t="n">
        <v>0.626</v>
      </c>
      <c r="O174" s="7" t="n">
        <f aca="false">M174*N174</f>
        <v>378423.91104</v>
      </c>
      <c r="P174" s="7" t="n">
        <f aca="false">M174-O174</f>
        <v>226087.12896</v>
      </c>
      <c r="Q174" s="3" t="s">
        <v>25</v>
      </c>
      <c r="R174" s="3" t="str">
        <f aca="false">TEXT(A174,"YYYY-MM")</f>
        <v>2025-05</v>
      </c>
    </row>
    <row r="175" customFormat="false" ht="15" hidden="false" customHeight="false" outlineLevel="0" collapsed="false">
      <c r="A175" s="2" t="n">
        <v>45810</v>
      </c>
      <c r="B175" s="3" t="s">
        <v>535</v>
      </c>
      <c r="C175" s="3" t="s">
        <v>33</v>
      </c>
      <c r="D175" s="4" t="s">
        <v>34</v>
      </c>
      <c r="E175" s="3" t="s">
        <v>35</v>
      </c>
      <c r="F175" s="4" t="s">
        <v>36</v>
      </c>
      <c r="G175" s="3" t="s">
        <v>37</v>
      </c>
      <c r="H175" s="3" t="s">
        <v>38</v>
      </c>
      <c r="I175" s="5" t="n">
        <v>209</v>
      </c>
      <c r="J175" s="6" t="n">
        <v>7860</v>
      </c>
      <c r="K175" s="7" t="n">
        <f aca="false">I175*J175</f>
        <v>1642740</v>
      </c>
      <c r="L175" s="8" t="n">
        <v>0.027</v>
      </c>
      <c r="M175" s="7" t="n">
        <f aca="false">K175*(1-L175)</f>
        <v>1598386.02</v>
      </c>
      <c r="N175" s="8" t="n">
        <v>0.676</v>
      </c>
      <c r="O175" s="7" t="n">
        <f aca="false">M175*N175</f>
        <v>1080508.94952</v>
      </c>
      <c r="P175" s="7" t="n">
        <f aca="false">M175-O175</f>
        <v>517877.07048</v>
      </c>
      <c r="Q175" s="3" t="s">
        <v>25</v>
      </c>
      <c r="R175" s="3" t="str">
        <f aca="false">TEXT(A175,"YYYY-MM")</f>
        <v>2025-06</v>
      </c>
    </row>
    <row r="176" customFormat="false" ht="15" hidden="false" customHeight="false" outlineLevel="0" collapsed="false">
      <c r="A176" s="2" t="n">
        <v>45811</v>
      </c>
      <c r="B176" s="3" t="s">
        <v>536</v>
      </c>
      <c r="C176" s="3" t="s">
        <v>377</v>
      </c>
      <c r="D176" s="4" t="s">
        <v>85</v>
      </c>
      <c r="E176" s="3" t="s">
        <v>527</v>
      </c>
      <c r="F176" s="4" t="s">
        <v>528</v>
      </c>
      <c r="G176" s="3" t="s">
        <v>37</v>
      </c>
      <c r="H176" s="3" t="s">
        <v>44</v>
      </c>
      <c r="I176" s="5" t="n">
        <v>14</v>
      </c>
      <c r="J176" s="6" t="n">
        <v>1580</v>
      </c>
      <c r="K176" s="7" t="n">
        <f aca="false">I176*J176</f>
        <v>22120</v>
      </c>
      <c r="L176" s="8" t="n">
        <v>0.019</v>
      </c>
      <c r="M176" s="7" t="n">
        <f aca="false">K176*(1-L176)</f>
        <v>21699.72</v>
      </c>
      <c r="N176" s="8" t="n">
        <v>0.673</v>
      </c>
      <c r="O176" s="7" t="n">
        <f aca="false">M176*N176</f>
        <v>14603.91156</v>
      </c>
      <c r="P176" s="7" t="n">
        <f aca="false">M176-O176</f>
        <v>7095.80844</v>
      </c>
      <c r="Q176" s="3" t="s">
        <v>25</v>
      </c>
      <c r="R176" s="3" t="str">
        <f aca="false">TEXT(A176,"YYYY-MM")</f>
        <v>2025-06</v>
      </c>
    </row>
    <row r="177" customFormat="false" ht="15" hidden="false" customHeight="false" outlineLevel="0" collapsed="false">
      <c r="A177" s="2" t="n">
        <v>45811</v>
      </c>
      <c r="B177" s="3" t="s">
        <v>537</v>
      </c>
      <c r="C177" s="3" t="s">
        <v>181</v>
      </c>
      <c r="D177" s="4" t="s">
        <v>182</v>
      </c>
      <c r="E177" s="3" t="s">
        <v>313</v>
      </c>
      <c r="F177" s="4" t="s">
        <v>314</v>
      </c>
      <c r="G177" s="3" t="s">
        <v>23</v>
      </c>
      <c r="H177" s="3" t="s">
        <v>44</v>
      </c>
      <c r="I177" s="5" t="n">
        <v>414</v>
      </c>
      <c r="J177" s="6" t="n">
        <v>14020</v>
      </c>
      <c r="K177" s="7" t="n">
        <f aca="false">I177*J177</f>
        <v>5804280</v>
      </c>
      <c r="L177" s="8" t="n">
        <v>0.074</v>
      </c>
      <c r="M177" s="7" t="n">
        <f aca="false">K177*(1-L177)</f>
        <v>5374763.28</v>
      </c>
      <c r="N177" s="8" t="n">
        <v>0.689</v>
      </c>
      <c r="O177" s="7" t="n">
        <f aca="false">M177*N177</f>
        <v>3703211.89992</v>
      </c>
      <c r="P177" s="7" t="n">
        <f aca="false">M177-O177</f>
        <v>1671551.38008</v>
      </c>
      <c r="Q177" s="3" t="s">
        <v>25</v>
      </c>
      <c r="R177" s="3" t="str">
        <f aca="false">TEXT(A177,"YYYY-MM")</f>
        <v>2025-06</v>
      </c>
    </row>
    <row r="178" customFormat="false" ht="15" hidden="false" customHeight="false" outlineLevel="0" collapsed="false">
      <c r="A178" s="2" t="n">
        <v>45811</v>
      </c>
      <c r="B178" s="3" t="s">
        <v>538</v>
      </c>
      <c r="C178" s="3" t="s">
        <v>178</v>
      </c>
      <c r="D178" s="4" t="s">
        <v>179</v>
      </c>
      <c r="E178" s="3" t="s">
        <v>238</v>
      </c>
      <c r="F178" s="4" t="s">
        <v>239</v>
      </c>
      <c r="G178" s="3" t="s">
        <v>37</v>
      </c>
      <c r="H178" s="3" t="s">
        <v>38</v>
      </c>
      <c r="I178" s="5" t="n">
        <v>231</v>
      </c>
      <c r="J178" s="6" t="n">
        <v>8480</v>
      </c>
      <c r="K178" s="7" t="n">
        <f aca="false">I178*J178</f>
        <v>1958880</v>
      </c>
      <c r="L178" s="8" t="n">
        <v>0</v>
      </c>
      <c r="M178" s="7" t="n">
        <f aca="false">K178*(1-L178)</f>
        <v>1958880</v>
      </c>
      <c r="N178" s="8" t="n">
        <v>0.701</v>
      </c>
      <c r="O178" s="7" t="n">
        <f aca="false">M178*N178</f>
        <v>1373174.88</v>
      </c>
      <c r="P178" s="7" t="n">
        <f aca="false">M178-O178</f>
        <v>585705.12</v>
      </c>
      <c r="Q178" s="3" t="s">
        <v>25</v>
      </c>
      <c r="R178" s="3" t="str">
        <f aca="false">TEXT(A178,"YYYY-MM")</f>
        <v>2025-06</v>
      </c>
    </row>
    <row r="179" customFormat="false" ht="15" hidden="false" customHeight="false" outlineLevel="0" collapsed="false">
      <c r="A179" s="2" t="n">
        <v>45811</v>
      </c>
      <c r="B179" s="3" t="s">
        <v>539</v>
      </c>
      <c r="C179" s="3" t="s">
        <v>373</v>
      </c>
      <c r="D179" s="4" t="s">
        <v>253</v>
      </c>
      <c r="E179" s="3" t="s">
        <v>112</v>
      </c>
      <c r="F179" s="4" t="s">
        <v>113</v>
      </c>
      <c r="G179" s="3" t="s">
        <v>31</v>
      </c>
      <c r="H179" s="3" t="s">
        <v>44</v>
      </c>
      <c r="I179" s="5" t="n">
        <v>669</v>
      </c>
      <c r="J179" s="6" t="n">
        <v>3450</v>
      </c>
      <c r="K179" s="7" t="n">
        <f aca="false">I179*J179</f>
        <v>2308050</v>
      </c>
      <c r="L179" s="8" t="n">
        <v>0.135</v>
      </c>
      <c r="M179" s="7" t="n">
        <f aca="false">K179*(1-L179)</f>
        <v>1996463.25</v>
      </c>
      <c r="N179" s="8" t="n">
        <v>0.635</v>
      </c>
      <c r="O179" s="7" t="n">
        <f aca="false">M179*N179</f>
        <v>1267754.16375</v>
      </c>
      <c r="P179" s="7" t="n">
        <f aca="false">M179-O179</f>
        <v>728709.08625</v>
      </c>
      <c r="Q179" s="3" t="s">
        <v>25</v>
      </c>
      <c r="R179" s="3" t="str">
        <f aca="false">TEXT(A179,"YYYY-MM")</f>
        <v>2025-06</v>
      </c>
    </row>
    <row r="180" customFormat="false" ht="15" hidden="false" customHeight="false" outlineLevel="0" collapsed="false">
      <c r="A180" s="2" t="n">
        <v>45816</v>
      </c>
      <c r="B180" s="3" t="s">
        <v>540</v>
      </c>
      <c r="C180" s="3" t="s">
        <v>533</v>
      </c>
      <c r="D180" s="4" t="s">
        <v>534</v>
      </c>
      <c r="E180" s="3" t="s">
        <v>541</v>
      </c>
      <c r="F180" s="4" t="s">
        <v>542</v>
      </c>
      <c r="G180" s="3" t="s">
        <v>37</v>
      </c>
      <c r="H180" s="3" t="s">
        <v>24</v>
      </c>
      <c r="I180" s="5" t="n">
        <v>342</v>
      </c>
      <c r="J180" s="6" t="n">
        <v>20850</v>
      </c>
      <c r="K180" s="7" t="n">
        <f aca="false">I180*J180</f>
        <v>7130700</v>
      </c>
      <c r="L180" s="8" t="n">
        <v>0.068</v>
      </c>
      <c r="M180" s="7" t="n">
        <f aca="false">K180*(1-L180)</f>
        <v>6645812.4</v>
      </c>
      <c r="N180" s="8" t="n">
        <v>0.673</v>
      </c>
      <c r="O180" s="7" t="n">
        <f aca="false">M180*N180</f>
        <v>4472631.7452</v>
      </c>
      <c r="P180" s="7" t="n">
        <f aca="false">M180-O180</f>
        <v>2173180.6548</v>
      </c>
      <c r="Q180" s="3" t="s">
        <v>25</v>
      </c>
      <c r="R180" s="3" t="str">
        <f aca="false">TEXT(A180,"YYYY-MM")</f>
        <v>2025-06</v>
      </c>
    </row>
    <row r="181" customFormat="false" ht="15" hidden="false" customHeight="false" outlineLevel="0" collapsed="false">
      <c r="A181" s="2" t="n">
        <v>45817</v>
      </c>
      <c r="B181" s="3" t="s">
        <v>543</v>
      </c>
      <c r="C181" s="3" t="s">
        <v>244</v>
      </c>
      <c r="D181" s="4" t="s">
        <v>245</v>
      </c>
      <c r="E181" s="3" t="s">
        <v>544</v>
      </c>
      <c r="F181" s="4" t="s">
        <v>545</v>
      </c>
      <c r="G181" s="3" t="s">
        <v>23</v>
      </c>
      <c r="H181" s="3" t="s">
        <v>44</v>
      </c>
      <c r="I181" s="5" t="n">
        <v>840</v>
      </c>
      <c r="J181" s="6" t="n">
        <v>4750</v>
      </c>
      <c r="K181" s="7" t="n">
        <f aca="false">I181*J181</f>
        <v>3990000</v>
      </c>
      <c r="L181" s="8" t="n">
        <v>0.125</v>
      </c>
      <c r="M181" s="7" t="n">
        <f aca="false">K181*(1-L181)</f>
        <v>3491250</v>
      </c>
      <c r="N181" s="8" t="n">
        <v>0.633</v>
      </c>
      <c r="O181" s="7" t="n">
        <f aca="false">M181*N181</f>
        <v>2209961.25</v>
      </c>
      <c r="P181" s="7" t="n">
        <f aca="false">M181-O181</f>
        <v>1281288.75</v>
      </c>
      <c r="Q181" s="3" t="s">
        <v>25</v>
      </c>
      <c r="R181" s="3" t="str">
        <f aca="false">TEXT(A181,"YYYY-MM")</f>
        <v>2025-06</v>
      </c>
    </row>
    <row r="182" customFormat="false" ht="15" hidden="false" customHeight="false" outlineLevel="0" collapsed="false">
      <c r="A182" s="2" t="n">
        <v>45817</v>
      </c>
      <c r="B182" s="3" t="s">
        <v>546</v>
      </c>
      <c r="C182" s="3" t="s">
        <v>471</v>
      </c>
      <c r="D182" s="4" t="s">
        <v>472</v>
      </c>
      <c r="E182" s="3" t="s">
        <v>260</v>
      </c>
      <c r="F182" s="4" t="s">
        <v>261</v>
      </c>
      <c r="G182" s="3" t="s">
        <v>23</v>
      </c>
      <c r="H182" s="3" t="s">
        <v>38</v>
      </c>
      <c r="I182" s="5" t="n">
        <v>277</v>
      </c>
      <c r="J182" s="6" t="n">
        <v>4230</v>
      </c>
      <c r="K182" s="7" t="n">
        <f aca="false">I182*J182</f>
        <v>1171710</v>
      </c>
      <c r="L182" s="8" t="n">
        <v>0</v>
      </c>
      <c r="M182" s="7" t="n">
        <f aca="false">K182*(1-L182)</f>
        <v>1171710</v>
      </c>
      <c r="N182" s="8" t="n">
        <v>0.663</v>
      </c>
      <c r="O182" s="7" t="n">
        <f aca="false">M182*N182</f>
        <v>776843.73</v>
      </c>
      <c r="P182" s="7" t="n">
        <f aca="false">M182-O182</f>
        <v>394866.27</v>
      </c>
      <c r="Q182" s="3" t="s">
        <v>25</v>
      </c>
      <c r="R182" s="3" t="str">
        <f aca="false">TEXT(A182,"YYYY-MM")</f>
        <v>2025-06</v>
      </c>
    </row>
    <row r="183" customFormat="false" ht="15" hidden="false" customHeight="false" outlineLevel="0" collapsed="false">
      <c r="A183" s="2" t="n">
        <v>45818</v>
      </c>
      <c r="B183" s="3" t="s">
        <v>547</v>
      </c>
      <c r="C183" s="3" t="s">
        <v>277</v>
      </c>
      <c r="D183" s="4" t="s">
        <v>278</v>
      </c>
      <c r="E183" s="3" t="s">
        <v>300</v>
      </c>
      <c r="F183" s="4" t="s">
        <v>301</v>
      </c>
      <c r="G183" s="3" t="s">
        <v>31</v>
      </c>
      <c r="H183" s="3" t="s">
        <v>24</v>
      </c>
      <c r="I183" s="5" t="n">
        <v>508</v>
      </c>
      <c r="J183" s="6" t="n">
        <v>2020</v>
      </c>
      <c r="K183" s="7" t="n">
        <f aca="false">I183*J183</f>
        <v>1026160</v>
      </c>
      <c r="L183" s="8" t="n">
        <v>0.084</v>
      </c>
      <c r="M183" s="7" t="n">
        <f aca="false">K183*(1-L183)</f>
        <v>939962.56</v>
      </c>
      <c r="N183" s="8" t="n">
        <v>0.627</v>
      </c>
      <c r="O183" s="7" t="n">
        <f aca="false">M183*N183</f>
        <v>589356.52512</v>
      </c>
      <c r="P183" s="7" t="n">
        <f aca="false">M183-O183</f>
        <v>350606.03488</v>
      </c>
      <c r="Q183" s="3" t="s">
        <v>25</v>
      </c>
      <c r="R183" s="3" t="str">
        <f aca="false">TEXT(A183,"YYYY-MM")</f>
        <v>2025-06</v>
      </c>
    </row>
    <row r="184" customFormat="false" ht="15" hidden="false" customHeight="false" outlineLevel="0" collapsed="false">
      <c r="A184" s="2" t="n">
        <v>45818</v>
      </c>
      <c r="B184" s="3" t="s">
        <v>548</v>
      </c>
      <c r="C184" s="3" t="s">
        <v>40</v>
      </c>
      <c r="D184" s="4" t="s">
        <v>41</v>
      </c>
      <c r="E184" s="3" t="s">
        <v>274</v>
      </c>
      <c r="F184" s="4" t="s">
        <v>275</v>
      </c>
      <c r="G184" s="3" t="s">
        <v>31</v>
      </c>
      <c r="H184" s="3" t="s">
        <v>44</v>
      </c>
      <c r="I184" s="5" t="n">
        <v>30</v>
      </c>
      <c r="J184" s="6" t="n">
        <v>9280</v>
      </c>
      <c r="K184" s="7" t="n">
        <f aca="false">I184*J184</f>
        <v>278400</v>
      </c>
      <c r="L184" s="8" t="n">
        <v>0.027</v>
      </c>
      <c r="M184" s="7" t="n">
        <f aca="false">K184*(1-L184)</f>
        <v>270883.2</v>
      </c>
      <c r="N184" s="8" t="n">
        <v>0.629</v>
      </c>
      <c r="O184" s="7" t="n">
        <f aca="false">M184*N184</f>
        <v>170385.5328</v>
      </c>
      <c r="P184" s="7" t="n">
        <f aca="false">M184-O184</f>
        <v>100497.6672</v>
      </c>
      <c r="Q184" s="3" t="s">
        <v>25</v>
      </c>
      <c r="R184" s="3" t="str">
        <f aca="false">TEXT(A184,"YYYY-MM")</f>
        <v>2025-06</v>
      </c>
    </row>
    <row r="185" customFormat="false" ht="15" hidden="false" customHeight="false" outlineLevel="0" collapsed="false">
      <c r="A185" s="2" t="n">
        <v>45818</v>
      </c>
      <c r="B185" s="3" t="s">
        <v>549</v>
      </c>
      <c r="C185" s="3" t="s">
        <v>209</v>
      </c>
      <c r="D185" s="4" t="s">
        <v>210</v>
      </c>
      <c r="E185" s="3" t="s">
        <v>366</v>
      </c>
      <c r="F185" s="4" t="s">
        <v>367</v>
      </c>
      <c r="G185" s="3" t="s">
        <v>23</v>
      </c>
      <c r="H185" s="3" t="s">
        <v>44</v>
      </c>
      <c r="I185" s="5" t="n">
        <v>49</v>
      </c>
      <c r="J185" s="6" t="n">
        <v>8640</v>
      </c>
      <c r="K185" s="7" t="n">
        <f aca="false">I185*J185</f>
        <v>423360</v>
      </c>
      <c r="L185" s="8" t="n">
        <v>0</v>
      </c>
      <c r="M185" s="7" t="n">
        <f aca="false">K185*(1-L185)</f>
        <v>423360</v>
      </c>
      <c r="N185" s="8" t="n">
        <v>0.69</v>
      </c>
      <c r="O185" s="7" t="n">
        <f aca="false">M185*N185</f>
        <v>292118.4</v>
      </c>
      <c r="P185" s="7" t="n">
        <f aca="false">M185-O185</f>
        <v>131241.6</v>
      </c>
      <c r="Q185" s="3" t="s">
        <v>25</v>
      </c>
      <c r="R185" s="3" t="str">
        <f aca="false">TEXT(A185,"YYYY-MM")</f>
        <v>2025-06</v>
      </c>
    </row>
    <row r="186" customFormat="false" ht="15" hidden="false" customHeight="false" outlineLevel="0" collapsed="false">
      <c r="A186" s="2" t="n">
        <v>45819</v>
      </c>
      <c r="B186" s="3" t="s">
        <v>550</v>
      </c>
      <c r="C186" s="3" t="s">
        <v>551</v>
      </c>
      <c r="D186" s="4" t="s">
        <v>552</v>
      </c>
      <c r="E186" s="3" t="s">
        <v>80</v>
      </c>
      <c r="F186" s="4" t="s">
        <v>81</v>
      </c>
      <c r="G186" s="3" t="s">
        <v>23</v>
      </c>
      <c r="H186" s="3" t="s">
        <v>24</v>
      </c>
      <c r="I186" s="5" t="n">
        <v>236</v>
      </c>
      <c r="J186" s="6" t="n">
        <v>2400</v>
      </c>
      <c r="K186" s="7" t="n">
        <f aca="false">I186*J186</f>
        <v>566400</v>
      </c>
      <c r="L186" s="8" t="n">
        <v>0.041</v>
      </c>
      <c r="M186" s="7" t="n">
        <f aca="false">K186*(1-L186)</f>
        <v>543177.6</v>
      </c>
      <c r="N186" s="8" t="n">
        <v>0.64</v>
      </c>
      <c r="O186" s="7" t="n">
        <f aca="false">M186*N186</f>
        <v>347633.664</v>
      </c>
      <c r="P186" s="7" t="n">
        <f aca="false">M186-O186</f>
        <v>195543.936</v>
      </c>
      <c r="Q186" s="3" t="s">
        <v>25</v>
      </c>
      <c r="R186" s="3" t="str">
        <f aca="false">TEXT(A186,"YYYY-MM")</f>
        <v>2025-06</v>
      </c>
    </row>
    <row r="187" customFormat="false" ht="15" hidden="false" customHeight="false" outlineLevel="0" collapsed="false">
      <c r="A187" s="2" t="n">
        <v>45819</v>
      </c>
      <c r="B187" s="3" t="s">
        <v>553</v>
      </c>
      <c r="C187" s="3" t="s">
        <v>89</v>
      </c>
      <c r="D187" s="4" t="s">
        <v>90</v>
      </c>
      <c r="E187" s="3" t="s">
        <v>554</v>
      </c>
      <c r="F187" s="4" t="s">
        <v>555</v>
      </c>
      <c r="G187" s="3" t="s">
        <v>151</v>
      </c>
      <c r="H187" s="3" t="s">
        <v>38</v>
      </c>
      <c r="I187" s="5" t="n">
        <v>67</v>
      </c>
      <c r="J187" s="6" t="n">
        <v>27540</v>
      </c>
      <c r="K187" s="7" t="n">
        <f aca="false">I187*J187</f>
        <v>1845180</v>
      </c>
      <c r="L187" s="8" t="n">
        <v>0</v>
      </c>
      <c r="M187" s="7" t="n">
        <f aca="false">K187*(1-L187)</f>
        <v>1845180</v>
      </c>
      <c r="N187" s="8" t="n">
        <v>0.654</v>
      </c>
      <c r="O187" s="7" t="n">
        <f aca="false">M187*N187</f>
        <v>1206747.72</v>
      </c>
      <c r="P187" s="7" t="n">
        <f aca="false">M187-O187</f>
        <v>638432.28</v>
      </c>
      <c r="Q187" s="3" t="s">
        <v>25</v>
      </c>
      <c r="R187" s="3" t="str">
        <f aca="false">TEXT(A187,"YYYY-MM")</f>
        <v>2025-06</v>
      </c>
    </row>
    <row r="188" customFormat="false" ht="15" hidden="false" customHeight="false" outlineLevel="0" collapsed="false">
      <c r="A188" s="2" t="n">
        <v>45820</v>
      </c>
      <c r="B188" s="3" t="s">
        <v>556</v>
      </c>
      <c r="C188" s="3" t="s">
        <v>257</v>
      </c>
      <c r="D188" s="4" t="s">
        <v>258</v>
      </c>
      <c r="E188" s="3" t="s">
        <v>238</v>
      </c>
      <c r="F188" s="4" t="s">
        <v>239</v>
      </c>
      <c r="G188" s="3" t="s">
        <v>37</v>
      </c>
      <c r="H188" s="3" t="s">
        <v>38</v>
      </c>
      <c r="I188" s="5" t="n">
        <v>160</v>
      </c>
      <c r="J188" s="6" t="n">
        <v>8480</v>
      </c>
      <c r="K188" s="7" t="n">
        <f aca="false">I188*J188</f>
        <v>1356800</v>
      </c>
      <c r="L188" s="8" t="n">
        <v>0.03</v>
      </c>
      <c r="M188" s="7" t="n">
        <f aca="false">K188*(1-L188)</f>
        <v>1316096</v>
      </c>
      <c r="N188" s="8" t="n">
        <v>0.706</v>
      </c>
      <c r="O188" s="7" t="n">
        <f aca="false">M188*N188</f>
        <v>929163.776</v>
      </c>
      <c r="P188" s="7" t="n">
        <f aca="false">M188-O188</f>
        <v>386932.224</v>
      </c>
      <c r="Q188" s="3" t="s">
        <v>25</v>
      </c>
      <c r="R188" s="3" t="str">
        <f aca="false">TEXT(A188,"YYYY-MM")</f>
        <v>2025-06</v>
      </c>
    </row>
    <row r="189" customFormat="false" ht="15" hidden="false" customHeight="false" outlineLevel="0" collapsed="false">
      <c r="A189" s="2" t="n">
        <v>45820</v>
      </c>
      <c r="B189" s="3" t="s">
        <v>557</v>
      </c>
      <c r="C189" s="3" t="s">
        <v>69</v>
      </c>
      <c r="D189" s="4" t="s">
        <v>70</v>
      </c>
      <c r="E189" s="3" t="s">
        <v>321</v>
      </c>
      <c r="F189" s="4" t="s">
        <v>322</v>
      </c>
      <c r="G189" s="3" t="s">
        <v>201</v>
      </c>
      <c r="H189" s="3" t="s">
        <v>38</v>
      </c>
      <c r="I189" s="5" t="n">
        <v>267</v>
      </c>
      <c r="J189" s="6" t="n">
        <v>14770</v>
      </c>
      <c r="K189" s="7" t="n">
        <f aca="false">I189*J189</f>
        <v>3943590</v>
      </c>
      <c r="L189" s="8" t="n">
        <v>0</v>
      </c>
      <c r="M189" s="7" t="n">
        <f aca="false">K189*(1-L189)</f>
        <v>3943590</v>
      </c>
      <c r="N189" s="8" t="n">
        <v>0.687</v>
      </c>
      <c r="O189" s="7" t="n">
        <f aca="false">M189*N189</f>
        <v>2709246.33</v>
      </c>
      <c r="P189" s="7" t="n">
        <f aca="false">M189-O189</f>
        <v>1234343.67</v>
      </c>
      <c r="Q189" s="3" t="s">
        <v>25</v>
      </c>
      <c r="R189" s="3" t="str">
        <f aca="false">TEXT(A189,"YYYY-MM")</f>
        <v>2025-06</v>
      </c>
    </row>
    <row r="190" customFormat="false" ht="15" hidden="false" customHeight="false" outlineLevel="0" collapsed="false">
      <c r="A190" s="2" t="n">
        <v>45821</v>
      </c>
      <c r="B190" s="3" t="s">
        <v>558</v>
      </c>
      <c r="C190" s="3" t="s">
        <v>559</v>
      </c>
      <c r="D190" s="4" t="s">
        <v>560</v>
      </c>
      <c r="E190" s="3" t="s">
        <v>191</v>
      </c>
      <c r="F190" s="4" t="s">
        <v>192</v>
      </c>
      <c r="G190" s="3" t="s">
        <v>31</v>
      </c>
      <c r="H190" s="3" t="s">
        <v>38</v>
      </c>
      <c r="I190" s="5" t="n">
        <v>331</v>
      </c>
      <c r="J190" s="6" t="n">
        <v>5900</v>
      </c>
      <c r="K190" s="7" t="n">
        <f aca="false">I190*J190</f>
        <v>1952900</v>
      </c>
      <c r="L190" s="8" t="n">
        <v>0.055</v>
      </c>
      <c r="M190" s="7" t="n">
        <f aca="false">K190*(1-L190)</f>
        <v>1845490.5</v>
      </c>
      <c r="N190" s="8" t="n">
        <v>0.697</v>
      </c>
      <c r="O190" s="7" t="n">
        <f aca="false">M190*N190</f>
        <v>1286306.8785</v>
      </c>
      <c r="P190" s="7" t="n">
        <f aca="false">M190-O190</f>
        <v>559183.6215</v>
      </c>
      <c r="Q190" s="3" t="s">
        <v>25</v>
      </c>
      <c r="R190" s="3" t="str">
        <f aca="false">TEXT(A190,"YYYY-MM")</f>
        <v>2025-06</v>
      </c>
    </row>
    <row r="191" customFormat="false" ht="15" hidden="false" customHeight="false" outlineLevel="0" collapsed="false">
      <c r="A191" s="2" t="n">
        <v>45822</v>
      </c>
      <c r="B191" s="3" t="s">
        <v>561</v>
      </c>
      <c r="C191" s="3" t="s">
        <v>533</v>
      </c>
      <c r="D191" s="4" t="s">
        <v>534</v>
      </c>
      <c r="E191" s="3" t="s">
        <v>348</v>
      </c>
      <c r="F191" s="4" t="s">
        <v>349</v>
      </c>
      <c r="G191" s="3" t="s">
        <v>23</v>
      </c>
      <c r="H191" s="3" t="s">
        <v>24</v>
      </c>
      <c r="I191" s="5" t="n">
        <v>217</v>
      </c>
      <c r="J191" s="6" t="n">
        <v>8920</v>
      </c>
      <c r="K191" s="7" t="n">
        <f aca="false">I191*J191</f>
        <v>1935640</v>
      </c>
      <c r="L191" s="8" t="n">
        <v>0.047</v>
      </c>
      <c r="M191" s="7" t="n">
        <f aca="false">K191*(1-L191)</f>
        <v>1844664.92</v>
      </c>
      <c r="N191" s="8" t="n">
        <v>0.623</v>
      </c>
      <c r="O191" s="7" t="n">
        <f aca="false">M191*N191</f>
        <v>1149226.24516</v>
      </c>
      <c r="P191" s="7" t="n">
        <f aca="false">M191-O191</f>
        <v>695438.67484</v>
      </c>
      <c r="Q191" s="3" t="s">
        <v>25</v>
      </c>
      <c r="R191" s="3" t="str">
        <f aca="false">TEXT(A191,"YYYY-MM")</f>
        <v>2025-06</v>
      </c>
    </row>
    <row r="192" customFormat="false" ht="15" hidden="false" customHeight="false" outlineLevel="0" collapsed="false">
      <c r="A192" s="2" t="n">
        <v>45822</v>
      </c>
      <c r="B192" s="3" t="s">
        <v>562</v>
      </c>
      <c r="C192" s="3" t="s">
        <v>136</v>
      </c>
      <c r="D192" s="4" t="s">
        <v>137</v>
      </c>
      <c r="E192" s="3" t="s">
        <v>86</v>
      </c>
      <c r="F192" s="4" t="s">
        <v>87</v>
      </c>
      <c r="G192" s="3" t="s">
        <v>23</v>
      </c>
      <c r="H192" s="3" t="s">
        <v>24</v>
      </c>
      <c r="I192" s="5" t="n">
        <v>632</v>
      </c>
      <c r="J192" s="6" t="n">
        <v>11620</v>
      </c>
      <c r="K192" s="7" t="n">
        <f aca="false">I192*J192</f>
        <v>7343840</v>
      </c>
      <c r="L192" s="8" t="n">
        <v>0.123</v>
      </c>
      <c r="M192" s="7" t="n">
        <f aca="false">K192*(1-L192)</f>
        <v>6440547.68</v>
      </c>
      <c r="N192" s="8" t="n">
        <v>0.682</v>
      </c>
      <c r="O192" s="7" t="n">
        <f aca="false">M192*N192</f>
        <v>4392453.51776</v>
      </c>
      <c r="P192" s="7" t="n">
        <f aca="false">M192-O192</f>
        <v>2048094.16224</v>
      </c>
      <c r="Q192" s="3" t="s">
        <v>25</v>
      </c>
      <c r="R192" s="3" t="str">
        <f aca="false">TEXT(A192,"YYYY-MM")</f>
        <v>2025-06</v>
      </c>
    </row>
    <row r="193" customFormat="false" ht="15" hidden="false" customHeight="false" outlineLevel="0" collapsed="false">
      <c r="A193" s="2" t="n">
        <v>45823</v>
      </c>
      <c r="B193" s="3" t="s">
        <v>563</v>
      </c>
      <c r="C193" s="3" t="s">
        <v>46</v>
      </c>
      <c r="D193" s="4" t="s">
        <v>47</v>
      </c>
      <c r="E193" s="3" t="s">
        <v>541</v>
      </c>
      <c r="F193" s="4" t="s">
        <v>542</v>
      </c>
      <c r="G193" s="3" t="s">
        <v>37</v>
      </c>
      <c r="H193" s="3" t="s">
        <v>44</v>
      </c>
      <c r="I193" s="5" t="n">
        <v>305</v>
      </c>
      <c r="J193" s="6" t="n">
        <v>20850</v>
      </c>
      <c r="K193" s="7" t="n">
        <f aca="false">I193*J193</f>
        <v>6359250</v>
      </c>
      <c r="L193" s="8" t="n">
        <v>0.078</v>
      </c>
      <c r="M193" s="7" t="n">
        <f aca="false">K193*(1-L193)</f>
        <v>5863228.5</v>
      </c>
      <c r="N193" s="8" t="n">
        <v>0.631</v>
      </c>
      <c r="O193" s="7" t="n">
        <f aca="false">M193*N193</f>
        <v>3699697.1835</v>
      </c>
      <c r="P193" s="7" t="n">
        <f aca="false">M193-O193</f>
        <v>2163531.3165</v>
      </c>
      <c r="Q193" s="3" t="s">
        <v>155</v>
      </c>
      <c r="R193" s="3" t="str">
        <f aca="false">TEXT(A193,"YYYY-MM")</f>
        <v>2025-06</v>
      </c>
    </row>
    <row r="194" customFormat="false" ht="15" hidden="false" customHeight="false" outlineLevel="0" collapsed="false">
      <c r="A194" s="2" t="n">
        <v>45823</v>
      </c>
      <c r="B194" s="3" t="s">
        <v>564</v>
      </c>
      <c r="C194" s="3" t="s">
        <v>364</v>
      </c>
      <c r="D194" s="4" t="s">
        <v>365</v>
      </c>
      <c r="E194" s="3" t="s">
        <v>86</v>
      </c>
      <c r="F194" s="4" t="s">
        <v>87</v>
      </c>
      <c r="G194" s="3" t="s">
        <v>23</v>
      </c>
      <c r="H194" s="3" t="s">
        <v>44</v>
      </c>
      <c r="I194" s="5" t="n">
        <v>163</v>
      </c>
      <c r="J194" s="6" t="n">
        <v>11620</v>
      </c>
      <c r="K194" s="7" t="n">
        <f aca="false">I194*J194</f>
        <v>1894060</v>
      </c>
      <c r="L194" s="8" t="n">
        <v>0</v>
      </c>
      <c r="M194" s="7" t="n">
        <f aca="false">K194*(1-L194)</f>
        <v>1894060</v>
      </c>
      <c r="N194" s="8" t="n">
        <v>0.622</v>
      </c>
      <c r="O194" s="7" t="n">
        <f aca="false">M194*N194</f>
        <v>1178105.32</v>
      </c>
      <c r="P194" s="7" t="n">
        <f aca="false">M194-O194</f>
        <v>715954.68</v>
      </c>
      <c r="Q194" s="3" t="s">
        <v>25</v>
      </c>
      <c r="R194" s="3" t="str">
        <f aca="false">TEXT(A194,"YYYY-MM")</f>
        <v>2025-06</v>
      </c>
    </row>
    <row r="195" customFormat="false" ht="15" hidden="false" customHeight="false" outlineLevel="0" collapsed="false">
      <c r="A195" s="2" t="n">
        <v>45827</v>
      </c>
      <c r="B195" s="3" t="s">
        <v>565</v>
      </c>
      <c r="C195" s="3" t="s">
        <v>402</v>
      </c>
      <c r="D195" s="4" t="s">
        <v>403</v>
      </c>
      <c r="E195" s="3" t="s">
        <v>544</v>
      </c>
      <c r="F195" s="4" t="s">
        <v>545</v>
      </c>
      <c r="G195" s="3" t="s">
        <v>23</v>
      </c>
      <c r="H195" s="3" t="s">
        <v>24</v>
      </c>
      <c r="I195" s="5" t="n">
        <v>450</v>
      </c>
      <c r="J195" s="6" t="n">
        <v>4750</v>
      </c>
      <c r="K195" s="7" t="n">
        <f aca="false">I195*J195</f>
        <v>2137500</v>
      </c>
      <c r="L195" s="8" t="n">
        <v>0.096</v>
      </c>
      <c r="M195" s="7" t="n">
        <f aca="false">K195*(1-L195)</f>
        <v>1932300</v>
      </c>
      <c r="N195" s="8" t="n">
        <v>0.61</v>
      </c>
      <c r="O195" s="7" t="n">
        <f aca="false">M195*N195</f>
        <v>1178703</v>
      </c>
      <c r="P195" s="7" t="n">
        <f aca="false">M195-O195</f>
        <v>753597</v>
      </c>
      <c r="Q195" s="3" t="s">
        <v>25</v>
      </c>
      <c r="R195" s="3" t="str">
        <f aca="false">TEXT(A195,"YYYY-MM")</f>
        <v>2025-06</v>
      </c>
    </row>
    <row r="196" customFormat="false" ht="15" hidden="false" customHeight="false" outlineLevel="0" collapsed="false">
      <c r="A196" s="2" t="n">
        <v>45827</v>
      </c>
      <c r="B196" s="3" t="s">
        <v>566</v>
      </c>
      <c r="C196" s="3" t="s">
        <v>551</v>
      </c>
      <c r="D196" s="4" t="s">
        <v>552</v>
      </c>
      <c r="E196" s="3" t="s">
        <v>567</v>
      </c>
      <c r="F196" s="4" t="s">
        <v>568</v>
      </c>
      <c r="G196" s="3" t="s">
        <v>201</v>
      </c>
      <c r="H196" s="3" t="s">
        <v>24</v>
      </c>
      <c r="I196" s="5" t="n">
        <v>20</v>
      </c>
      <c r="J196" s="6" t="n">
        <v>6390</v>
      </c>
      <c r="K196" s="7" t="n">
        <f aca="false">I196*J196</f>
        <v>127800</v>
      </c>
      <c r="L196" s="8" t="n">
        <v>0</v>
      </c>
      <c r="M196" s="7" t="n">
        <f aca="false">K196*(1-L196)</f>
        <v>127800</v>
      </c>
      <c r="N196" s="8" t="n">
        <v>0.615</v>
      </c>
      <c r="O196" s="7" t="n">
        <f aca="false">M196*N196</f>
        <v>78597</v>
      </c>
      <c r="P196" s="7" t="n">
        <f aca="false">M196-O196</f>
        <v>49203</v>
      </c>
      <c r="Q196" s="3" t="s">
        <v>25</v>
      </c>
      <c r="R196" s="3" t="str">
        <f aca="false">TEXT(A196,"YYYY-MM")</f>
        <v>2025-06</v>
      </c>
    </row>
    <row r="197" customFormat="false" ht="15" hidden="false" customHeight="false" outlineLevel="0" collapsed="false">
      <c r="A197" s="2" t="n">
        <v>45827</v>
      </c>
      <c r="B197" s="3" t="s">
        <v>569</v>
      </c>
      <c r="C197" s="3" t="s">
        <v>161</v>
      </c>
      <c r="D197" s="4" t="s">
        <v>162</v>
      </c>
      <c r="E197" s="3" t="s">
        <v>281</v>
      </c>
      <c r="F197" s="4" t="s">
        <v>282</v>
      </c>
      <c r="G197" s="3" t="s">
        <v>23</v>
      </c>
      <c r="H197" s="3" t="s">
        <v>24</v>
      </c>
      <c r="I197" s="5" t="n">
        <v>36</v>
      </c>
      <c r="J197" s="6" t="n">
        <v>4850</v>
      </c>
      <c r="K197" s="7" t="n">
        <f aca="false">I197*J197</f>
        <v>174600</v>
      </c>
      <c r="L197" s="8" t="n">
        <v>0</v>
      </c>
      <c r="M197" s="7" t="n">
        <f aca="false">K197*(1-L197)</f>
        <v>174600</v>
      </c>
      <c r="N197" s="8" t="n">
        <v>0.699</v>
      </c>
      <c r="O197" s="7" t="n">
        <f aca="false">M197*N197</f>
        <v>122045.4</v>
      </c>
      <c r="P197" s="7" t="n">
        <f aca="false">M197-O197</f>
        <v>52554.6</v>
      </c>
      <c r="Q197" s="3" t="s">
        <v>25</v>
      </c>
      <c r="R197" s="3" t="str">
        <f aca="false">TEXT(A197,"YYYY-MM")</f>
        <v>2025-06</v>
      </c>
    </row>
    <row r="198" customFormat="false" ht="15" hidden="false" customHeight="false" outlineLevel="0" collapsed="false">
      <c r="A198" s="2" t="n">
        <v>45827</v>
      </c>
      <c r="B198" s="3" t="s">
        <v>570</v>
      </c>
      <c r="C198" s="3" t="s">
        <v>56</v>
      </c>
      <c r="D198" s="4" t="s">
        <v>57</v>
      </c>
      <c r="E198" s="3" t="s">
        <v>112</v>
      </c>
      <c r="F198" s="4" t="s">
        <v>113</v>
      </c>
      <c r="G198" s="3" t="s">
        <v>31</v>
      </c>
      <c r="H198" s="3" t="s">
        <v>38</v>
      </c>
      <c r="I198" s="5" t="n">
        <v>23</v>
      </c>
      <c r="J198" s="6" t="n">
        <v>3450</v>
      </c>
      <c r="K198" s="7" t="n">
        <f aca="false">I198*J198</f>
        <v>79350</v>
      </c>
      <c r="L198" s="8" t="n">
        <v>0</v>
      </c>
      <c r="M198" s="7" t="n">
        <f aca="false">K198*(1-L198)</f>
        <v>79350</v>
      </c>
      <c r="N198" s="8" t="n">
        <v>0.737</v>
      </c>
      <c r="O198" s="7" t="n">
        <f aca="false">M198*N198</f>
        <v>58480.95</v>
      </c>
      <c r="P198" s="7" t="n">
        <f aca="false">M198-O198</f>
        <v>20869.05</v>
      </c>
      <c r="Q198" s="3" t="s">
        <v>25</v>
      </c>
      <c r="R198" s="3" t="str">
        <f aca="false">TEXT(A198,"YYYY-MM")</f>
        <v>2025-06</v>
      </c>
    </row>
    <row r="199" customFormat="false" ht="15" hidden="false" customHeight="false" outlineLevel="0" collapsed="false">
      <c r="A199" s="2" t="n">
        <v>45827</v>
      </c>
      <c r="B199" s="3" t="s">
        <v>571</v>
      </c>
      <c r="C199" s="3" t="s">
        <v>92</v>
      </c>
      <c r="D199" s="4" t="s">
        <v>93</v>
      </c>
      <c r="E199" s="3" t="s">
        <v>227</v>
      </c>
      <c r="F199" s="4" t="s">
        <v>228</v>
      </c>
      <c r="G199" s="3" t="s">
        <v>31</v>
      </c>
      <c r="H199" s="3" t="s">
        <v>24</v>
      </c>
      <c r="I199" s="5" t="n">
        <v>739</v>
      </c>
      <c r="J199" s="6" t="n">
        <v>5040</v>
      </c>
      <c r="K199" s="7" t="n">
        <f aca="false">I199*J199</f>
        <v>3724560</v>
      </c>
      <c r="L199" s="8" t="n">
        <v>0.144</v>
      </c>
      <c r="M199" s="7" t="n">
        <f aca="false">K199*(1-L199)</f>
        <v>3188223.36</v>
      </c>
      <c r="N199" s="8" t="n">
        <v>0.687</v>
      </c>
      <c r="O199" s="7" t="n">
        <f aca="false">M199*N199</f>
        <v>2190309.44832</v>
      </c>
      <c r="P199" s="7" t="n">
        <f aca="false">M199-O199</f>
        <v>997913.91168</v>
      </c>
      <c r="Q199" s="3" t="s">
        <v>25</v>
      </c>
      <c r="R199" s="3" t="str">
        <f aca="false">TEXT(A199,"YYYY-MM")</f>
        <v>2025-06</v>
      </c>
    </row>
    <row r="200" customFormat="false" ht="15" hidden="false" customHeight="false" outlineLevel="0" collapsed="false">
      <c r="A200" s="2" t="n">
        <v>45828</v>
      </c>
      <c r="B200" s="3" t="s">
        <v>572</v>
      </c>
      <c r="C200" s="3" t="s">
        <v>225</v>
      </c>
      <c r="D200" s="4" t="s">
        <v>226</v>
      </c>
      <c r="E200" s="3" t="s">
        <v>573</v>
      </c>
      <c r="F200" s="4" t="s">
        <v>574</v>
      </c>
      <c r="G200" s="3" t="s">
        <v>201</v>
      </c>
      <c r="H200" s="3" t="s">
        <v>44</v>
      </c>
      <c r="I200" s="5" t="n">
        <v>332</v>
      </c>
      <c r="J200" s="6" t="n">
        <v>21690</v>
      </c>
      <c r="K200" s="7" t="n">
        <f aca="false">I200*J200</f>
        <v>7201080</v>
      </c>
      <c r="L200" s="8" t="n">
        <v>0.1</v>
      </c>
      <c r="M200" s="7" t="n">
        <f aca="false">K200*(1-L200)</f>
        <v>6480972</v>
      </c>
      <c r="N200" s="8" t="n">
        <v>0.605</v>
      </c>
      <c r="O200" s="7" t="n">
        <f aca="false">M200*N200</f>
        <v>3920988.06</v>
      </c>
      <c r="P200" s="7" t="n">
        <f aca="false">M200-O200</f>
        <v>2559983.94</v>
      </c>
      <c r="Q200" s="3" t="s">
        <v>25</v>
      </c>
      <c r="R200" s="3" t="str">
        <f aca="false">TEXT(A200,"YYYY-MM")</f>
        <v>2025-06</v>
      </c>
    </row>
    <row r="201" customFormat="false" ht="15" hidden="false" customHeight="false" outlineLevel="0" collapsed="false">
      <c r="A201" s="2" t="n">
        <v>45828</v>
      </c>
      <c r="B201" s="3" t="s">
        <v>575</v>
      </c>
      <c r="C201" s="3" t="s">
        <v>123</v>
      </c>
      <c r="D201" s="4" t="s">
        <v>124</v>
      </c>
      <c r="E201" s="3" t="s">
        <v>482</v>
      </c>
      <c r="F201" s="4" t="s">
        <v>483</v>
      </c>
      <c r="G201" s="3" t="s">
        <v>37</v>
      </c>
      <c r="H201" s="3" t="s">
        <v>24</v>
      </c>
      <c r="I201" s="5" t="n">
        <v>155</v>
      </c>
      <c r="J201" s="6" t="n">
        <v>10570</v>
      </c>
      <c r="K201" s="7" t="n">
        <f aca="false">I201*J201</f>
        <v>1638350</v>
      </c>
      <c r="L201" s="8" t="n">
        <v>0</v>
      </c>
      <c r="M201" s="7" t="n">
        <f aca="false">K201*(1-L201)</f>
        <v>1638350</v>
      </c>
      <c r="N201" s="8" t="n">
        <v>0.712</v>
      </c>
      <c r="O201" s="7" t="n">
        <f aca="false">M201*N201</f>
        <v>1166505.2</v>
      </c>
      <c r="P201" s="7" t="n">
        <f aca="false">M201-O201</f>
        <v>471844.8</v>
      </c>
      <c r="Q201" s="3" t="s">
        <v>25</v>
      </c>
      <c r="R201" s="3" t="str">
        <f aca="false">TEXT(A201,"YYYY-MM")</f>
        <v>2025-06</v>
      </c>
    </row>
    <row r="202" customFormat="false" ht="15" hidden="false" customHeight="false" outlineLevel="0" collapsed="false">
      <c r="A202" s="2" t="n">
        <v>45829</v>
      </c>
      <c r="B202" s="3" t="s">
        <v>576</v>
      </c>
      <c r="C202" s="3" t="s">
        <v>503</v>
      </c>
      <c r="D202" s="4" t="s">
        <v>504</v>
      </c>
      <c r="E202" s="3" t="s">
        <v>577</v>
      </c>
      <c r="F202" s="4" t="s">
        <v>578</v>
      </c>
      <c r="G202" s="3" t="s">
        <v>201</v>
      </c>
      <c r="H202" s="3" t="s">
        <v>24</v>
      </c>
      <c r="I202" s="5" t="n">
        <v>352</v>
      </c>
      <c r="J202" s="6" t="n">
        <v>18300</v>
      </c>
      <c r="K202" s="7" t="n">
        <f aca="false">I202*J202</f>
        <v>6441600</v>
      </c>
      <c r="L202" s="8" t="n">
        <v>0.086</v>
      </c>
      <c r="M202" s="7" t="n">
        <f aca="false">K202*(1-L202)</f>
        <v>5887622.4</v>
      </c>
      <c r="N202" s="8" t="n">
        <v>0.61</v>
      </c>
      <c r="O202" s="7" t="n">
        <f aca="false">M202*N202</f>
        <v>3591449.664</v>
      </c>
      <c r="P202" s="7" t="n">
        <f aca="false">M202-O202</f>
        <v>2296172.736</v>
      </c>
      <c r="Q202" s="3" t="s">
        <v>25</v>
      </c>
      <c r="R202" s="3" t="str">
        <f aca="false">TEXT(A202,"YYYY-MM")</f>
        <v>2025-06</v>
      </c>
    </row>
    <row r="203" customFormat="false" ht="15" hidden="false" customHeight="false" outlineLevel="0" collapsed="false">
      <c r="A203" s="2" t="n">
        <v>45831</v>
      </c>
      <c r="B203" s="3" t="s">
        <v>579</v>
      </c>
      <c r="C203" s="3" t="s">
        <v>284</v>
      </c>
      <c r="D203" s="4" t="s">
        <v>285</v>
      </c>
      <c r="E203" s="3" t="s">
        <v>580</v>
      </c>
      <c r="F203" s="4" t="s">
        <v>581</v>
      </c>
      <c r="G203" s="3" t="s">
        <v>201</v>
      </c>
      <c r="H203" s="3" t="s">
        <v>44</v>
      </c>
      <c r="I203" s="5" t="n">
        <v>345</v>
      </c>
      <c r="J203" s="6" t="n">
        <v>8260</v>
      </c>
      <c r="K203" s="7" t="n">
        <f aca="false">I203*J203</f>
        <v>2849700</v>
      </c>
      <c r="L203" s="8" t="n">
        <v>0.067</v>
      </c>
      <c r="M203" s="7" t="n">
        <f aca="false">K203*(1-L203)</f>
        <v>2658770.1</v>
      </c>
      <c r="N203" s="8" t="n">
        <v>0.703</v>
      </c>
      <c r="O203" s="7" t="n">
        <f aca="false">M203*N203</f>
        <v>1869115.3803</v>
      </c>
      <c r="P203" s="7" t="n">
        <f aca="false">M203-O203</f>
        <v>789654.7197</v>
      </c>
      <c r="Q203" s="3" t="s">
        <v>25</v>
      </c>
      <c r="R203" s="3" t="str">
        <f aca="false">TEXT(A203,"YYYY-MM")</f>
        <v>2025-06</v>
      </c>
    </row>
    <row r="204" customFormat="false" ht="15" hidden="false" customHeight="false" outlineLevel="0" collapsed="false">
      <c r="A204" s="2" t="n">
        <v>45832</v>
      </c>
      <c r="B204" s="3" t="s">
        <v>582</v>
      </c>
      <c r="C204" s="3" t="s">
        <v>214</v>
      </c>
      <c r="D204" s="4" t="s">
        <v>215</v>
      </c>
      <c r="E204" s="3" t="s">
        <v>86</v>
      </c>
      <c r="F204" s="4" t="s">
        <v>87</v>
      </c>
      <c r="G204" s="3" t="s">
        <v>23</v>
      </c>
      <c r="H204" s="3" t="s">
        <v>38</v>
      </c>
      <c r="I204" s="5" t="n">
        <v>541</v>
      </c>
      <c r="J204" s="6" t="n">
        <v>11620</v>
      </c>
      <c r="K204" s="7" t="n">
        <f aca="false">I204*J204</f>
        <v>6286420</v>
      </c>
      <c r="L204" s="8" t="n">
        <v>0.043</v>
      </c>
      <c r="M204" s="7" t="n">
        <f aca="false">K204*(1-L204)</f>
        <v>6016103.94</v>
      </c>
      <c r="N204" s="8" t="n">
        <v>0.671</v>
      </c>
      <c r="O204" s="7" t="n">
        <f aca="false">M204*N204</f>
        <v>4036805.74374</v>
      </c>
      <c r="P204" s="7" t="n">
        <f aca="false">M204-O204</f>
        <v>1979298.19626</v>
      </c>
      <c r="Q204" s="3" t="s">
        <v>25</v>
      </c>
      <c r="R204" s="3" t="str">
        <f aca="false">TEXT(A204,"YYYY-MM")</f>
        <v>2025-06</v>
      </c>
    </row>
    <row r="205" customFormat="false" ht="15" hidden="false" customHeight="false" outlineLevel="0" collapsed="false">
      <c r="A205" s="2" t="n">
        <v>45833</v>
      </c>
      <c r="B205" s="3" t="s">
        <v>583</v>
      </c>
      <c r="C205" s="3" t="s">
        <v>584</v>
      </c>
      <c r="D205" s="4" t="s">
        <v>585</v>
      </c>
      <c r="E205" s="3" t="s">
        <v>35</v>
      </c>
      <c r="F205" s="4" t="s">
        <v>36</v>
      </c>
      <c r="G205" s="3" t="s">
        <v>37</v>
      </c>
      <c r="H205" s="3" t="s">
        <v>44</v>
      </c>
      <c r="I205" s="5" t="n">
        <v>239</v>
      </c>
      <c r="J205" s="6" t="n">
        <v>7860</v>
      </c>
      <c r="K205" s="7" t="n">
        <f aca="false">I205*J205</f>
        <v>1878540</v>
      </c>
      <c r="L205" s="8" t="n">
        <v>0</v>
      </c>
      <c r="M205" s="7" t="n">
        <f aca="false">K205*(1-L205)</f>
        <v>1878540</v>
      </c>
      <c r="N205" s="8" t="n">
        <v>0.631</v>
      </c>
      <c r="O205" s="7" t="n">
        <f aca="false">M205*N205</f>
        <v>1185358.74</v>
      </c>
      <c r="P205" s="7" t="n">
        <f aca="false">M205-O205</f>
        <v>693181.26</v>
      </c>
      <c r="Q205" s="3" t="s">
        <v>25</v>
      </c>
      <c r="R205" s="3" t="str">
        <f aca="false">TEXT(A205,"YYYY-MM")</f>
        <v>2025-06</v>
      </c>
    </row>
    <row r="206" customFormat="false" ht="15" hidden="false" customHeight="false" outlineLevel="0" collapsed="false">
      <c r="A206" s="2" t="n">
        <v>45834</v>
      </c>
      <c r="B206" s="3" t="s">
        <v>586</v>
      </c>
      <c r="C206" s="3" t="s">
        <v>46</v>
      </c>
      <c r="D206" s="4" t="s">
        <v>47</v>
      </c>
      <c r="E206" s="3" t="s">
        <v>587</v>
      </c>
      <c r="F206" s="4" t="s">
        <v>588</v>
      </c>
      <c r="G206" s="3" t="s">
        <v>31</v>
      </c>
      <c r="H206" s="3" t="s">
        <v>44</v>
      </c>
      <c r="I206" s="5" t="n">
        <v>214</v>
      </c>
      <c r="J206" s="6" t="n">
        <v>6060</v>
      </c>
      <c r="K206" s="7" t="n">
        <f aca="false">I206*J206</f>
        <v>1296840</v>
      </c>
      <c r="L206" s="8" t="n">
        <v>0</v>
      </c>
      <c r="M206" s="7" t="n">
        <f aca="false">K206*(1-L206)</f>
        <v>1296840</v>
      </c>
      <c r="N206" s="8" t="n">
        <v>0.669</v>
      </c>
      <c r="O206" s="7" t="n">
        <f aca="false">M206*N206</f>
        <v>867585.96</v>
      </c>
      <c r="P206" s="7" t="n">
        <f aca="false">M206-O206</f>
        <v>429254.04</v>
      </c>
      <c r="Q206" s="3" t="s">
        <v>155</v>
      </c>
      <c r="R206" s="3" t="str">
        <f aca="false">TEXT(A206,"YYYY-MM")</f>
        <v>2025-06</v>
      </c>
    </row>
    <row r="207" customFormat="false" ht="15" hidden="false" customHeight="false" outlineLevel="0" collapsed="false">
      <c r="A207" s="2" t="n">
        <v>45835</v>
      </c>
      <c r="B207" s="3" t="s">
        <v>589</v>
      </c>
      <c r="C207" s="3" t="s">
        <v>414</v>
      </c>
      <c r="D207" s="4" t="s">
        <v>273</v>
      </c>
      <c r="E207" s="3" t="s">
        <v>290</v>
      </c>
      <c r="F207" s="4" t="s">
        <v>291</v>
      </c>
      <c r="G207" s="3" t="s">
        <v>23</v>
      </c>
      <c r="H207" s="3" t="s">
        <v>38</v>
      </c>
      <c r="I207" s="5" t="n">
        <v>306</v>
      </c>
      <c r="J207" s="6" t="n">
        <v>15430</v>
      </c>
      <c r="K207" s="7" t="n">
        <f aca="false">I207*J207</f>
        <v>4721580</v>
      </c>
      <c r="L207" s="8" t="n">
        <v>0.049</v>
      </c>
      <c r="M207" s="7" t="n">
        <f aca="false">K207*(1-L207)</f>
        <v>4490222.58</v>
      </c>
      <c r="N207" s="8" t="n">
        <v>0.731</v>
      </c>
      <c r="O207" s="7" t="n">
        <f aca="false">M207*N207</f>
        <v>3282352.70598</v>
      </c>
      <c r="P207" s="7" t="n">
        <f aca="false">M207-O207</f>
        <v>1207869.87402</v>
      </c>
      <c r="Q207" s="3" t="s">
        <v>25</v>
      </c>
      <c r="R207" s="3" t="str">
        <f aca="false">TEXT(A207,"YYYY-MM")</f>
        <v>2025-06</v>
      </c>
    </row>
    <row r="208" customFormat="false" ht="15" hidden="false" customHeight="false" outlineLevel="0" collapsed="false">
      <c r="A208" s="2" t="n">
        <v>45835</v>
      </c>
      <c r="B208" s="3" t="s">
        <v>590</v>
      </c>
      <c r="C208" s="3" t="s">
        <v>236</v>
      </c>
      <c r="D208" s="4" t="s">
        <v>237</v>
      </c>
      <c r="E208" s="3" t="s">
        <v>527</v>
      </c>
      <c r="F208" s="4" t="s">
        <v>528</v>
      </c>
      <c r="G208" s="3" t="s">
        <v>37</v>
      </c>
      <c r="H208" s="3" t="s">
        <v>24</v>
      </c>
      <c r="I208" s="5" t="n">
        <v>145</v>
      </c>
      <c r="J208" s="6" t="n">
        <v>1580</v>
      </c>
      <c r="K208" s="7" t="n">
        <f aca="false">I208*J208</f>
        <v>229100</v>
      </c>
      <c r="L208" s="8" t="n">
        <v>0.037</v>
      </c>
      <c r="M208" s="7" t="n">
        <f aca="false">K208*(1-L208)</f>
        <v>220623.3</v>
      </c>
      <c r="N208" s="8" t="n">
        <v>0.749</v>
      </c>
      <c r="O208" s="7" t="n">
        <f aca="false">M208*N208</f>
        <v>165246.8517</v>
      </c>
      <c r="P208" s="7" t="n">
        <f aca="false">M208-O208</f>
        <v>55376.4483</v>
      </c>
      <c r="Q208" s="3" t="s">
        <v>25</v>
      </c>
      <c r="R208" s="3" t="str">
        <f aca="false">TEXT(A208,"YYYY-MM")</f>
        <v>2025-06</v>
      </c>
    </row>
    <row r="209" customFormat="false" ht="15" hidden="false" customHeight="false" outlineLevel="0" collapsed="false">
      <c r="A209" s="2" t="n">
        <v>45835</v>
      </c>
      <c r="B209" s="3" t="s">
        <v>591</v>
      </c>
      <c r="C209" s="3" t="s">
        <v>417</v>
      </c>
      <c r="D209" s="4" t="s">
        <v>418</v>
      </c>
      <c r="E209" s="3" t="s">
        <v>29</v>
      </c>
      <c r="F209" s="4" t="s">
        <v>30</v>
      </c>
      <c r="G209" s="3" t="s">
        <v>31</v>
      </c>
      <c r="H209" s="3" t="s">
        <v>44</v>
      </c>
      <c r="I209" s="5" t="n">
        <v>258</v>
      </c>
      <c r="J209" s="6" t="n">
        <v>8000</v>
      </c>
      <c r="K209" s="7" t="n">
        <f aca="false">I209*J209</f>
        <v>2064000</v>
      </c>
      <c r="L209" s="8" t="n">
        <v>0</v>
      </c>
      <c r="M209" s="7" t="n">
        <f aca="false">K209*(1-L209)</f>
        <v>2064000</v>
      </c>
      <c r="N209" s="8" t="n">
        <v>0.643</v>
      </c>
      <c r="O209" s="7" t="n">
        <f aca="false">M209*N209</f>
        <v>1327152</v>
      </c>
      <c r="P209" s="7" t="n">
        <f aca="false">M209-O209</f>
        <v>736848</v>
      </c>
      <c r="Q209" s="3" t="s">
        <v>25</v>
      </c>
      <c r="R209" s="3" t="str">
        <f aca="false">TEXT(A209,"YYYY-MM")</f>
        <v>2025-06</v>
      </c>
    </row>
    <row r="210" customFormat="false" ht="15" hidden="false" customHeight="false" outlineLevel="0" collapsed="false">
      <c r="A210" s="2" t="n">
        <v>45836</v>
      </c>
      <c r="B210" s="3" t="s">
        <v>592</v>
      </c>
      <c r="C210" s="3" t="s">
        <v>593</v>
      </c>
      <c r="D210" s="4" t="s">
        <v>594</v>
      </c>
      <c r="E210" s="3" t="s">
        <v>246</v>
      </c>
      <c r="F210" s="4" t="s">
        <v>247</v>
      </c>
      <c r="G210" s="3" t="s">
        <v>31</v>
      </c>
      <c r="H210" s="3" t="s">
        <v>38</v>
      </c>
      <c r="I210" s="5" t="n">
        <v>331</v>
      </c>
      <c r="J210" s="6" t="n">
        <v>3180</v>
      </c>
      <c r="K210" s="7" t="n">
        <f aca="false">I210*J210</f>
        <v>1052580</v>
      </c>
      <c r="L210" s="8" t="n">
        <v>0.074</v>
      </c>
      <c r="M210" s="7" t="n">
        <f aca="false">K210*(1-L210)</f>
        <v>974689.08</v>
      </c>
      <c r="N210" s="8" t="n">
        <v>0.742</v>
      </c>
      <c r="O210" s="7" t="n">
        <f aca="false">M210*N210</f>
        <v>723219.29736</v>
      </c>
      <c r="P210" s="7" t="n">
        <f aca="false">M210-O210</f>
        <v>251469.78264</v>
      </c>
      <c r="Q210" s="3" t="s">
        <v>25</v>
      </c>
      <c r="R210" s="3" t="str">
        <f aca="false">TEXT(A210,"YYYY-MM")</f>
        <v>2025-06</v>
      </c>
    </row>
    <row r="211" customFormat="false" ht="15" hidden="false" customHeight="false" outlineLevel="0" collapsed="false">
      <c r="A211" s="2" t="n">
        <v>45837</v>
      </c>
      <c r="B211" s="3" t="s">
        <v>595</v>
      </c>
      <c r="C211" s="3" t="s">
        <v>298</v>
      </c>
      <c r="D211" s="4" t="s">
        <v>299</v>
      </c>
      <c r="E211" s="3" t="s">
        <v>286</v>
      </c>
      <c r="F211" s="4" t="s">
        <v>287</v>
      </c>
      <c r="G211" s="3" t="s">
        <v>23</v>
      </c>
      <c r="H211" s="3" t="s">
        <v>38</v>
      </c>
      <c r="I211" s="5" t="n">
        <v>259</v>
      </c>
      <c r="J211" s="6" t="n">
        <v>4060</v>
      </c>
      <c r="K211" s="7" t="n">
        <f aca="false">I211*J211</f>
        <v>1051540</v>
      </c>
      <c r="L211" s="8" t="n">
        <v>0</v>
      </c>
      <c r="M211" s="7" t="n">
        <f aca="false">K211*(1-L211)</f>
        <v>1051540</v>
      </c>
      <c r="N211" s="8" t="n">
        <v>0.622</v>
      </c>
      <c r="O211" s="7" t="n">
        <f aca="false">M211*N211</f>
        <v>654057.88</v>
      </c>
      <c r="P211" s="7" t="n">
        <f aca="false">M211-O211</f>
        <v>397482.12</v>
      </c>
      <c r="Q211" s="3" t="s">
        <v>25</v>
      </c>
      <c r="R211" s="3" t="str">
        <f aca="false">TEXT(A211,"YYYY-MM")</f>
        <v>2025-06</v>
      </c>
    </row>
    <row r="212" customFormat="false" ht="15" hidden="false" customHeight="false" outlineLevel="0" collapsed="false">
      <c r="A212" s="2" t="n">
        <v>45838</v>
      </c>
      <c r="B212" s="3" t="s">
        <v>596</v>
      </c>
      <c r="C212" s="3" t="s">
        <v>417</v>
      </c>
      <c r="D212" s="4" t="s">
        <v>418</v>
      </c>
      <c r="E212" s="3" t="s">
        <v>352</v>
      </c>
      <c r="F212" s="4" t="s">
        <v>353</v>
      </c>
      <c r="G212" s="3" t="s">
        <v>31</v>
      </c>
      <c r="H212" s="3" t="s">
        <v>44</v>
      </c>
      <c r="I212" s="5" t="n">
        <v>486</v>
      </c>
      <c r="J212" s="6" t="n">
        <v>9460</v>
      </c>
      <c r="K212" s="7" t="n">
        <f aca="false">I212*J212</f>
        <v>4597560</v>
      </c>
      <c r="L212" s="8" t="n">
        <v>0.065</v>
      </c>
      <c r="M212" s="7" t="n">
        <f aca="false">K212*(1-L212)</f>
        <v>4298718.6</v>
      </c>
      <c r="N212" s="8" t="n">
        <v>0.687</v>
      </c>
      <c r="O212" s="7" t="n">
        <f aca="false">M212*N212</f>
        <v>2953219.6782</v>
      </c>
      <c r="P212" s="7" t="n">
        <f aca="false">M212-O212</f>
        <v>1345498.9218</v>
      </c>
      <c r="Q212" s="3" t="s">
        <v>25</v>
      </c>
      <c r="R212" s="3" t="str">
        <f aca="false">TEXT(A212,"YYYY-MM")</f>
        <v>2025-06</v>
      </c>
    </row>
    <row r="213" customFormat="false" ht="15" hidden="false" customHeight="false" outlineLevel="0" collapsed="false">
      <c r="A213" s="2" t="n">
        <v>45838</v>
      </c>
      <c r="B213" s="3" t="s">
        <v>597</v>
      </c>
      <c r="C213" s="3" t="s">
        <v>267</v>
      </c>
      <c r="D213" s="4" t="s">
        <v>268</v>
      </c>
      <c r="E213" s="3" t="s">
        <v>58</v>
      </c>
      <c r="F213" s="4" t="s">
        <v>59</v>
      </c>
      <c r="G213" s="3" t="s">
        <v>23</v>
      </c>
      <c r="H213" s="3" t="s">
        <v>24</v>
      </c>
      <c r="I213" s="5" t="n">
        <v>401</v>
      </c>
      <c r="J213" s="6" t="n">
        <v>9910</v>
      </c>
      <c r="K213" s="7" t="n">
        <f aca="false">I213*J213</f>
        <v>3973910</v>
      </c>
      <c r="L213" s="8" t="n">
        <v>0.094</v>
      </c>
      <c r="M213" s="7" t="n">
        <f aca="false">K213*(1-L213)</f>
        <v>3600362.46</v>
      </c>
      <c r="N213" s="8" t="n">
        <v>0.655</v>
      </c>
      <c r="O213" s="7" t="n">
        <f aca="false">M213*N213</f>
        <v>2358237.4113</v>
      </c>
      <c r="P213" s="7" t="n">
        <f aca="false">M213-O213</f>
        <v>1242125.0487</v>
      </c>
      <c r="Q213" s="3" t="s">
        <v>25</v>
      </c>
      <c r="R213" s="3" t="str">
        <f aca="false">TEXT(A213,"YYYY-MM")</f>
        <v>2025-06</v>
      </c>
    </row>
    <row r="214" customFormat="false" ht="15" hidden="false" customHeight="false" outlineLevel="0" collapsed="false">
      <c r="A214" s="2" t="n">
        <v>45839</v>
      </c>
      <c r="B214" s="3" t="s">
        <v>598</v>
      </c>
      <c r="C214" s="3" t="s">
        <v>524</v>
      </c>
      <c r="D214" s="4" t="s">
        <v>525</v>
      </c>
      <c r="E214" s="3" t="s">
        <v>246</v>
      </c>
      <c r="F214" s="4" t="s">
        <v>247</v>
      </c>
      <c r="G214" s="3" t="s">
        <v>31</v>
      </c>
      <c r="H214" s="3" t="s">
        <v>24</v>
      </c>
      <c r="I214" s="5" t="n">
        <v>398</v>
      </c>
      <c r="J214" s="6" t="n">
        <v>3180</v>
      </c>
      <c r="K214" s="7" t="n">
        <f aca="false">I214*J214</f>
        <v>1265640</v>
      </c>
      <c r="L214" s="8" t="n">
        <v>0.096</v>
      </c>
      <c r="M214" s="7" t="n">
        <f aca="false">K214*(1-L214)</f>
        <v>1144138.56</v>
      </c>
      <c r="N214" s="8" t="n">
        <v>0.642</v>
      </c>
      <c r="O214" s="7" t="n">
        <f aca="false">M214*N214</f>
        <v>734536.95552</v>
      </c>
      <c r="P214" s="7" t="n">
        <f aca="false">M214-O214</f>
        <v>409601.60448</v>
      </c>
      <c r="Q214" s="3" t="s">
        <v>25</v>
      </c>
      <c r="R214" s="3" t="str">
        <f aca="false">TEXT(A214,"YYYY-MM")</f>
        <v>2025-07</v>
      </c>
    </row>
    <row r="215" customFormat="false" ht="15" hidden="false" customHeight="false" outlineLevel="0" collapsed="false">
      <c r="A215" s="2" t="n">
        <v>45840</v>
      </c>
      <c r="B215" s="3" t="s">
        <v>599</v>
      </c>
      <c r="C215" s="3" t="s">
        <v>161</v>
      </c>
      <c r="D215" s="4" t="s">
        <v>162</v>
      </c>
      <c r="E215" s="3" t="s">
        <v>274</v>
      </c>
      <c r="F215" s="4" t="s">
        <v>275</v>
      </c>
      <c r="G215" s="3" t="s">
        <v>31</v>
      </c>
      <c r="H215" s="3" t="s">
        <v>24</v>
      </c>
      <c r="I215" s="5" t="n">
        <v>669</v>
      </c>
      <c r="J215" s="6" t="n">
        <v>9280</v>
      </c>
      <c r="K215" s="7" t="n">
        <f aca="false">I215*J215</f>
        <v>6208320</v>
      </c>
      <c r="L215" s="8" t="n">
        <v>0.131</v>
      </c>
      <c r="M215" s="7" t="n">
        <f aca="false">K215*(1-L215)</f>
        <v>5395030.08</v>
      </c>
      <c r="N215" s="8" t="n">
        <v>0.606</v>
      </c>
      <c r="O215" s="7" t="n">
        <f aca="false">M215*N215</f>
        <v>3269388.22848</v>
      </c>
      <c r="P215" s="7" t="n">
        <f aca="false">M215-O215</f>
        <v>2125641.85152</v>
      </c>
      <c r="Q215" s="3" t="s">
        <v>25</v>
      </c>
      <c r="R215" s="3" t="str">
        <f aca="false">TEXT(A215,"YYYY-MM")</f>
        <v>2025-07</v>
      </c>
    </row>
    <row r="216" customFormat="false" ht="15" hidden="false" customHeight="false" outlineLevel="0" collapsed="false">
      <c r="A216" s="2" t="n">
        <v>45840</v>
      </c>
      <c r="B216" s="3" t="s">
        <v>600</v>
      </c>
      <c r="C216" s="3" t="s">
        <v>170</v>
      </c>
      <c r="D216" s="4" t="s">
        <v>171</v>
      </c>
      <c r="E216" s="3" t="s">
        <v>369</v>
      </c>
      <c r="F216" s="4" t="s">
        <v>370</v>
      </c>
      <c r="G216" s="3" t="s">
        <v>23</v>
      </c>
      <c r="H216" s="3" t="s">
        <v>38</v>
      </c>
      <c r="I216" s="5" t="n">
        <v>366</v>
      </c>
      <c r="J216" s="6" t="n">
        <v>5910</v>
      </c>
      <c r="K216" s="7" t="n">
        <f aca="false">I216*J216</f>
        <v>2163060</v>
      </c>
      <c r="L216" s="8" t="n">
        <v>0.09</v>
      </c>
      <c r="M216" s="7" t="n">
        <f aca="false">K216*(1-L216)</f>
        <v>1968384.6</v>
      </c>
      <c r="N216" s="8" t="n">
        <v>0.685</v>
      </c>
      <c r="O216" s="7" t="n">
        <f aca="false">M216*N216</f>
        <v>1348343.451</v>
      </c>
      <c r="P216" s="7" t="n">
        <f aca="false">M216-O216</f>
        <v>620041.149</v>
      </c>
      <c r="Q216" s="3" t="s">
        <v>25</v>
      </c>
      <c r="R216" s="3" t="str">
        <f aca="false">TEXT(A216,"YYYY-MM")</f>
        <v>2025-07</v>
      </c>
    </row>
    <row r="217" customFormat="false" ht="15" hidden="false" customHeight="false" outlineLevel="0" collapsed="false">
      <c r="A217" s="2" t="n">
        <v>45843</v>
      </c>
      <c r="B217" s="3" t="s">
        <v>601</v>
      </c>
      <c r="C217" s="3" t="s">
        <v>312</v>
      </c>
      <c r="D217" s="4" t="s">
        <v>98</v>
      </c>
      <c r="E217" s="3" t="s">
        <v>246</v>
      </c>
      <c r="F217" s="4" t="s">
        <v>247</v>
      </c>
      <c r="G217" s="3" t="s">
        <v>31</v>
      </c>
      <c r="H217" s="3" t="s">
        <v>44</v>
      </c>
      <c r="I217" s="5" t="n">
        <v>385</v>
      </c>
      <c r="J217" s="6" t="n">
        <v>3180</v>
      </c>
      <c r="K217" s="7" t="n">
        <f aca="false">I217*J217</f>
        <v>1224300</v>
      </c>
      <c r="L217" s="8" t="n">
        <v>0.069</v>
      </c>
      <c r="M217" s="7" t="n">
        <f aca="false">K217*(1-L217)</f>
        <v>1139823.3</v>
      </c>
      <c r="N217" s="8" t="n">
        <v>0.62</v>
      </c>
      <c r="O217" s="7" t="n">
        <f aca="false">M217*N217</f>
        <v>706690.446</v>
      </c>
      <c r="P217" s="7" t="n">
        <f aca="false">M217-O217</f>
        <v>433132.854</v>
      </c>
      <c r="Q217" s="3" t="s">
        <v>25</v>
      </c>
      <c r="R217" s="3" t="str">
        <f aca="false">TEXT(A217,"YYYY-MM")</f>
        <v>2025-07</v>
      </c>
    </row>
    <row r="218" customFormat="false" ht="15" hidden="false" customHeight="false" outlineLevel="0" collapsed="false">
      <c r="A218" s="2" t="n">
        <v>45843</v>
      </c>
      <c r="B218" s="3" t="s">
        <v>602</v>
      </c>
      <c r="C218" s="3" t="s">
        <v>373</v>
      </c>
      <c r="D218" s="4" t="s">
        <v>253</v>
      </c>
      <c r="E218" s="3" t="s">
        <v>281</v>
      </c>
      <c r="F218" s="4" t="s">
        <v>282</v>
      </c>
      <c r="G218" s="3" t="s">
        <v>23</v>
      </c>
      <c r="H218" s="3" t="s">
        <v>44</v>
      </c>
      <c r="I218" s="5" t="n">
        <v>198</v>
      </c>
      <c r="J218" s="6" t="n">
        <v>4850</v>
      </c>
      <c r="K218" s="7" t="n">
        <f aca="false">I218*J218</f>
        <v>960300</v>
      </c>
      <c r="L218" s="8" t="n">
        <v>0</v>
      </c>
      <c r="M218" s="7" t="n">
        <f aca="false">K218*(1-L218)</f>
        <v>960300</v>
      </c>
      <c r="N218" s="8" t="n">
        <v>0.706</v>
      </c>
      <c r="O218" s="7" t="n">
        <f aca="false">M218*N218</f>
        <v>677971.8</v>
      </c>
      <c r="P218" s="7" t="n">
        <f aca="false">M218-O218</f>
        <v>282328.2</v>
      </c>
      <c r="Q218" s="3" t="s">
        <v>25</v>
      </c>
      <c r="R218" s="3" t="str">
        <f aca="false">TEXT(A218,"YYYY-MM")</f>
        <v>2025-07</v>
      </c>
    </row>
    <row r="219" customFormat="false" ht="15" hidden="false" customHeight="false" outlineLevel="0" collapsed="false">
      <c r="A219" s="2" t="n">
        <v>45844</v>
      </c>
      <c r="B219" s="3" t="s">
        <v>603</v>
      </c>
      <c r="C219" s="3" t="s">
        <v>364</v>
      </c>
      <c r="D219" s="4" t="s">
        <v>365</v>
      </c>
      <c r="E219" s="3" t="s">
        <v>300</v>
      </c>
      <c r="F219" s="4" t="s">
        <v>301</v>
      </c>
      <c r="G219" s="3" t="s">
        <v>31</v>
      </c>
      <c r="H219" s="3" t="s">
        <v>44</v>
      </c>
      <c r="I219" s="5" t="n">
        <v>149</v>
      </c>
      <c r="J219" s="6" t="n">
        <v>2020</v>
      </c>
      <c r="K219" s="7" t="n">
        <f aca="false">I219*J219</f>
        <v>300980</v>
      </c>
      <c r="L219" s="8" t="n">
        <v>0.019</v>
      </c>
      <c r="M219" s="7" t="n">
        <f aca="false">K219*(1-L219)</f>
        <v>295261.38</v>
      </c>
      <c r="N219" s="8" t="n">
        <v>0.604</v>
      </c>
      <c r="O219" s="7" t="n">
        <f aca="false">M219*N219</f>
        <v>178337.87352</v>
      </c>
      <c r="P219" s="7" t="n">
        <f aca="false">M219-O219</f>
        <v>116923.50648</v>
      </c>
      <c r="Q219" s="3" t="s">
        <v>25</v>
      </c>
      <c r="R219" s="3" t="str">
        <f aca="false">TEXT(A219,"YYYY-MM")</f>
        <v>2025-07</v>
      </c>
    </row>
    <row r="220" customFormat="false" ht="15" hidden="false" customHeight="false" outlineLevel="0" collapsed="false">
      <c r="A220" s="2" t="n">
        <v>45844</v>
      </c>
      <c r="B220" s="3" t="s">
        <v>604</v>
      </c>
      <c r="C220" s="3" t="s">
        <v>605</v>
      </c>
      <c r="D220" s="4" t="s">
        <v>422</v>
      </c>
      <c r="E220" s="3" t="s">
        <v>352</v>
      </c>
      <c r="F220" s="4" t="s">
        <v>353</v>
      </c>
      <c r="G220" s="3" t="s">
        <v>31</v>
      </c>
      <c r="H220" s="3" t="s">
        <v>44</v>
      </c>
      <c r="I220" s="5" t="n">
        <v>594</v>
      </c>
      <c r="J220" s="6" t="n">
        <v>9460</v>
      </c>
      <c r="K220" s="7" t="n">
        <f aca="false">I220*J220</f>
        <v>5619240</v>
      </c>
      <c r="L220" s="8" t="n">
        <v>0.055</v>
      </c>
      <c r="M220" s="7" t="n">
        <f aca="false">K220*(1-L220)</f>
        <v>5310181.8</v>
      </c>
      <c r="N220" s="8" t="n">
        <v>0.632</v>
      </c>
      <c r="O220" s="7" t="n">
        <f aca="false">M220*N220</f>
        <v>3356034.8976</v>
      </c>
      <c r="P220" s="7" t="n">
        <f aca="false">M220-O220</f>
        <v>1954146.9024</v>
      </c>
      <c r="Q220" s="3" t="s">
        <v>25</v>
      </c>
      <c r="R220" s="3" t="str">
        <f aca="false">TEXT(A220,"YYYY-MM")</f>
        <v>2025-07</v>
      </c>
    </row>
    <row r="221" customFormat="false" ht="15" hidden="false" customHeight="false" outlineLevel="0" collapsed="false">
      <c r="A221" s="2" t="n">
        <v>45846</v>
      </c>
      <c r="B221" s="3" t="s">
        <v>606</v>
      </c>
      <c r="C221" s="3" t="s">
        <v>170</v>
      </c>
      <c r="D221" s="4" t="s">
        <v>171</v>
      </c>
      <c r="E221" s="3" t="s">
        <v>396</v>
      </c>
      <c r="F221" s="4" t="s">
        <v>397</v>
      </c>
      <c r="G221" s="3" t="s">
        <v>23</v>
      </c>
      <c r="H221" s="3" t="s">
        <v>38</v>
      </c>
      <c r="I221" s="5" t="n">
        <v>438</v>
      </c>
      <c r="J221" s="6" t="n">
        <v>4370</v>
      </c>
      <c r="K221" s="7" t="n">
        <f aca="false">I221*J221</f>
        <v>1914060</v>
      </c>
      <c r="L221" s="8" t="n">
        <v>0.047</v>
      </c>
      <c r="M221" s="7" t="n">
        <f aca="false">K221*(1-L221)</f>
        <v>1824099.18</v>
      </c>
      <c r="N221" s="8" t="n">
        <v>0.678</v>
      </c>
      <c r="O221" s="7" t="n">
        <f aca="false">M221*N221</f>
        <v>1236739.24404</v>
      </c>
      <c r="P221" s="7" t="n">
        <f aca="false">M221-O221</f>
        <v>587359.93596</v>
      </c>
      <c r="Q221" s="3" t="s">
        <v>25</v>
      </c>
      <c r="R221" s="3" t="str">
        <f aca="false">TEXT(A221,"YYYY-MM")</f>
        <v>2025-07</v>
      </c>
    </row>
    <row r="222" customFormat="false" ht="15" hidden="false" customHeight="false" outlineLevel="0" collapsed="false">
      <c r="A222" s="2" t="n">
        <v>45847</v>
      </c>
      <c r="B222" s="3" t="s">
        <v>607</v>
      </c>
      <c r="C222" s="3" t="s">
        <v>497</v>
      </c>
      <c r="D222" s="4" t="s">
        <v>498</v>
      </c>
      <c r="E222" s="3" t="s">
        <v>383</v>
      </c>
      <c r="F222" s="4" t="s">
        <v>384</v>
      </c>
      <c r="G222" s="3" t="s">
        <v>31</v>
      </c>
      <c r="H222" s="3" t="s">
        <v>44</v>
      </c>
      <c r="I222" s="5" t="n">
        <v>393</v>
      </c>
      <c r="J222" s="6" t="n">
        <v>8630</v>
      </c>
      <c r="K222" s="7" t="n">
        <f aca="false">I222*J222</f>
        <v>3391590</v>
      </c>
      <c r="L222" s="8" t="n">
        <v>0.053</v>
      </c>
      <c r="M222" s="7" t="n">
        <f aca="false">K222*(1-L222)</f>
        <v>3211835.73</v>
      </c>
      <c r="N222" s="8" t="n">
        <v>0.746</v>
      </c>
      <c r="O222" s="7" t="n">
        <f aca="false">M222*N222</f>
        <v>2396029.45458</v>
      </c>
      <c r="P222" s="7" t="n">
        <f aca="false">M222-O222</f>
        <v>815806.27542</v>
      </c>
      <c r="Q222" s="3" t="s">
        <v>25</v>
      </c>
      <c r="R222" s="3" t="str">
        <f aca="false">TEXT(A222,"YYYY-MM")</f>
        <v>2025-07</v>
      </c>
    </row>
    <row r="223" customFormat="false" ht="15" hidden="false" customHeight="false" outlineLevel="0" collapsed="false">
      <c r="A223" s="2" t="n">
        <v>45847</v>
      </c>
      <c r="B223" s="3" t="s">
        <v>608</v>
      </c>
      <c r="C223" s="3" t="s">
        <v>584</v>
      </c>
      <c r="D223" s="4" t="s">
        <v>585</v>
      </c>
      <c r="E223" s="3" t="s">
        <v>348</v>
      </c>
      <c r="F223" s="4" t="s">
        <v>349</v>
      </c>
      <c r="G223" s="3" t="s">
        <v>23</v>
      </c>
      <c r="H223" s="3" t="s">
        <v>44</v>
      </c>
      <c r="I223" s="5" t="n">
        <v>854</v>
      </c>
      <c r="J223" s="6" t="n">
        <v>8920</v>
      </c>
      <c r="K223" s="7" t="n">
        <f aca="false">I223*J223</f>
        <v>7617680</v>
      </c>
      <c r="L223" s="8" t="n">
        <v>0.124</v>
      </c>
      <c r="M223" s="7" t="n">
        <f aca="false">K223*(1-L223)</f>
        <v>6673087.68</v>
      </c>
      <c r="N223" s="8" t="n">
        <v>0.748</v>
      </c>
      <c r="O223" s="7" t="n">
        <f aca="false">M223*N223</f>
        <v>4991469.58464</v>
      </c>
      <c r="P223" s="7" t="n">
        <f aca="false">M223-O223</f>
        <v>1681618.09536</v>
      </c>
      <c r="Q223" s="3" t="s">
        <v>25</v>
      </c>
      <c r="R223" s="3" t="str">
        <f aca="false">TEXT(A223,"YYYY-MM")</f>
        <v>2025-07</v>
      </c>
    </row>
    <row r="224" customFormat="false" ht="15" hidden="false" customHeight="false" outlineLevel="0" collapsed="false">
      <c r="A224" s="2" t="n">
        <v>45849</v>
      </c>
      <c r="B224" s="3" t="s">
        <v>609</v>
      </c>
      <c r="C224" s="3" t="s">
        <v>84</v>
      </c>
      <c r="D224" s="4" t="s">
        <v>85</v>
      </c>
      <c r="E224" s="3" t="s">
        <v>222</v>
      </c>
      <c r="F224" s="4" t="s">
        <v>223</v>
      </c>
      <c r="G224" s="3" t="s">
        <v>201</v>
      </c>
      <c r="H224" s="3" t="s">
        <v>44</v>
      </c>
      <c r="I224" s="5" t="n">
        <v>71</v>
      </c>
      <c r="J224" s="6" t="n">
        <v>17540</v>
      </c>
      <c r="K224" s="7" t="n">
        <f aca="false">I224*J224</f>
        <v>1245340</v>
      </c>
      <c r="L224" s="8" t="n">
        <v>0</v>
      </c>
      <c r="M224" s="7" t="n">
        <f aca="false">K224*(1-L224)</f>
        <v>1245340</v>
      </c>
      <c r="N224" s="8" t="n">
        <v>0.665</v>
      </c>
      <c r="O224" s="7" t="n">
        <f aca="false">M224*N224</f>
        <v>828151.1</v>
      </c>
      <c r="P224" s="7" t="n">
        <f aca="false">M224-O224</f>
        <v>417188.9</v>
      </c>
      <c r="Q224" s="3" t="s">
        <v>25</v>
      </c>
      <c r="R224" s="3" t="str">
        <f aca="false">TEXT(A224,"YYYY-MM")</f>
        <v>2025-07</v>
      </c>
    </row>
    <row r="225" customFormat="false" ht="15" hidden="false" customHeight="false" outlineLevel="0" collapsed="false">
      <c r="A225" s="2" t="n">
        <v>45849</v>
      </c>
      <c r="B225" s="3" t="s">
        <v>610</v>
      </c>
      <c r="C225" s="3" t="s">
        <v>332</v>
      </c>
      <c r="D225" s="4" t="s">
        <v>62</v>
      </c>
      <c r="E225" s="3" t="s">
        <v>205</v>
      </c>
      <c r="F225" s="4" t="s">
        <v>206</v>
      </c>
      <c r="G225" s="3" t="s">
        <v>201</v>
      </c>
      <c r="H225" s="3" t="s">
        <v>44</v>
      </c>
      <c r="I225" s="5" t="n">
        <v>207</v>
      </c>
      <c r="J225" s="6" t="n">
        <v>16250</v>
      </c>
      <c r="K225" s="7" t="n">
        <f aca="false">I225*J225</f>
        <v>3363750</v>
      </c>
      <c r="L225" s="8" t="n">
        <v>0</v>
      </c>
      <c r="M225" s="7" t="n">
        <f aca="false">K225*(1-L225)</f>
        <v>3363750</v>
      </c>
      <c r="N225" s="8" t="n">
        <v>0.629</v>
      </c>
      <c r="O225" s="7" t="n">
        <f aca="false">M225*N225</f>
        <v>2115798.75</v>
      </c>
      <c r="P225" s="7" t="n">
        <f aca="false">M225-O225</f>
        <v>1247951.25</v>
      </c>
      <c r="Q225" s="3" t="s">
        <v>25</v>
      </c>
      <c r="R225" s="3" t="str">
        <f aca="false">TEXT(A225,"YYYY-MM")</f>
        <v>2025-07</v>
      </c>
    </row>
    <row r="226" customFormat="false" ht="15" hidden="false" customHeight="false" outlineLevel="0" collapsed="false">
      <c r="A226" s="2" t="n">
        <v>45850</v>
      </c>
      <c r="B226" s="3" t="s">
        <v>611</v>
      </c>
      <c r="C226" s="3" t="s">
        <v>497</v>
      </c>
      <c r="D226" s="4" t="s">
        <v>498</v>
      </c>
      <c r="E226" s="3" t="s">
        <v>216</v>
      </c>
      <c r="F226" s="4" t="s">
        <v>217</v>
      </c>
      <c r="G226" s="3" t="s">
        <v>151</v>
      </c>
      <c r="H226" s="3" t="s">
        <v>44</v>
      </c>
      <c r="I226" s="5" t="n">
        <v>94</v>
      </c>
      <c r="J226" s="6" t="n">
        <v>16820</v>
      </c>
      <c r="K226" s="7" t="n">
        <f aca="false">I226*J226</f>
        <v>1581080</v>
      </c>
      <c r="L226" s="8" t="n">
        <v>0.023</v>
      </c>
      <c r="M226" s="7" t="n">
        <f aca="false">K226*(1-L226)</f>
        <v>1544715.16</v>
      </c>
      <c r="N226" s="8" t="n">
        <v>0.671</v>
      </c>
      <c r="O226" s="7" t="n">
        <f aca="false">M226*N226</f>
        <v>1036503.87236</v>
      </c>
      <c r="P226" s="7" t="n">
        <f aca="false">M226-O226</f>
        <v>508211.28764</v>
      </c>
      <c r="Q226" s="3" t="s">
        <v>25</v>
      </c>
      <c r="R226" s="3" t="str">
        <f aca="false">TEXT(A226,"YYYY-MM")</f>
        <v>2025-07</v>
      </c>
    </row>
    <row r="227" customFormat="false" ht="15" hidden="false" customHeight="false" outlineLevel="0" collapsed="false">
      <c r="A227" s="2" t="n">
        <v>45850</v>
      </c>
      <c r="B227" s="3" t="s">
        <v>612</v>
      </c>
      <c r="C227" s="3" t="s">
        <v>147</v>
      </c>
      <c r="D227" s="4" t="s">
        <v>148</v>
      </c>
      <c r="E227" s="3" t="s">
        <v>313</v>
      </c>
      <c r="F227" s="4" t="s">
        <v>314</v>
      </c>
      <c r="G227" s="3" t="s">
        <v>23</v>
      </c>
      <c r="H227" s="3" t="s">
        <v>44</v>
      </c>
      <c r="I227" s="5" t="n">
        <v>369</v>
      </c>
      <c r="J227" s="6" t="n">
        <v>14020</v>
      </c>
      <c r="K227" s="7" t="n">
        <f aca="false">I227*J227</f>
        <v>5173380</v>
      </c>
      <c r="L227" s="8" t="n">
        <v>0.045</v>
      </c>
      <c r="M227" s="7" t="n">
        <f aca="false">K227*(1-L227)</f>
        <v>4940577.9</v>
      </c>
      <c r="N227" s="8" t="n">
        <v>0.672</v>
      </c>
      <c r="O227" s="7" t="n">
        <f aca="false">M227*N227</f>
        <v>3320068.3488</v>
      </c>
      <c r="P227" s="7" t="n">
        <f aca="false">M227-O227</f>
        <v>1620509.5512</v>
      </c>
      <c r="Q227" s="3" t="s">
        <v>25</v>
      </c>
      <c r="R227" s="3" t="str">
        <f aca="false">TEXT(A227,"YYYY-MM")</f>
        <v>2025-07</v>
      </c>
    </row>
    <row r="228" customFormat="false" ht="15" hidden="false" customHeight="false" outlineLevel="0" collapsed="false">
      <c r="A228" s="2" t="n">
        <v>45851</v>
      </c>
      <c r="B228" s="3" t="s">
        <v>613</v>
      </c>
      <c r="C228" s="3" t="s">
        <v>614</v>
      </c>
      <c r="D228" s="4" t="s">
        <v>615</v>
      </c>
      <c r="E228" s="3" t="s">
        <v>616</v>
      </c>
      <c r="F228" s="4" t="s">
        <v>617</v>
      </c>
      <c r="G228" s="3" t="s">
        <v>151</v>
      </c>
      <c r="H228" s="3" t="s">
        <v>24</v>
      </c>
      <c r="I228" s="5" t="n">
        <v>42</v>
      </c>
      <c r="J228" s="6" t="n">
        <v>10540</v>
      </c>
      <c r="K228" s="7" t="n">
        <f aca="false">I228*J228</f>
        <v>442680</v>
      </c>
      <c r="L228" s="8" t="n">
        <v>0.002</v>
      </c>
      <c r="M228" s="7" t="n">
        <f aca="false">K228*(1-L228)</f>
        <v>441794.64</v>
      </c>
      <c r="N228" s="8" t="n">
        <v>0.691</v>
      </c>
      <c r="O228" s="7" t="n">
        <f aca="false">M228*N228</f>
        <v>305280.09624</v>
      </c>
      <c r="P228" s="7" t="n">
        <f aca="false">M228-O228</f>
        <v>136514.54376</v>
      </c>
      <c r="Q228" s="3" t="s">
        <v>25</v>
      </c>
      <c r="R228" s="3" t="str">
        <f aca="false">TEXT(A228,"YYYY-MM")</f>
        <v>2025-07</v>
      </c>
    </row>
    <row r="229" customFormat="false" ht="15" hidden="false" customHeight="false" outlineLevel="0" collapsed="false">
      <c r="A229" s="2" t="n">
        <v>45851</v>
      </c>
      <c r="B229" s="3" t="s">
        <v>618</v>
      </c>
      <c r="C229" s="3" t="s">
        <v>619</v>
      </c>
      <c r="D229" s="4" t="s">
        <v>620</v>
      </c>
      <c r="E229" s="3" t="s">
        <v>75</v>
      </c>
      <c r="F229" s="4" t="s">
        <v>76</v>
      </c>
      <c r="G229" s="3" t="s">
        <v>31</v>
      </c>
      <c r="H229" s="3" t="s">
        <v>24</v>
      </c>
      <c r="I229" s="5" t="n">
        <v>888</v>
      </c>
      <c r="J229" s="6" t="n">
        <v>3600</v>
      </c>
      <c r="K229" s="7" t="n">
        <f aca="false">I229*J229</f>
        <v>3196800</v>
      </c>
      <c r="L229" s="8" t="n">
        <v>0.131</v>
      </c>
      <c r="M229" s="7" t="n">
        <f aca="false">K229*(1-L229)</f>
        <v>2778019.2</v>
      </c>
      <c r="N229" s="8" t="n">
        <v>0.608</v>
      </c>
      <c r="O229" s="7" t="n">
        <f aca="false">M229*N229</f>
        <v>1689035.6736</v>
      </c>
      <c r="P229" s="7" t="n">
        <f aca="false">M229-O229</f>
        <v>1088983.5264</v>
      </c>
      <c r="Q229" s="3" t="s">
        <v>25</v>
      </c>
      <c r="R229" s="3" t="str">
        <f aca="false">TEXT(A229,"YYYY-MM")</f>
        <v>2025-07</v>
      </c>
    </row>
    <row r="230" customFormat="false" ht="15" hidden="false" customHeight="false" outlineLevel="0" collapsed="false">
      <c r="A230" s="2" t="n">
        <v>45851</v>
      </c>
      <c r="B230" s="3" t="s">
        <v>621</v>
      </c>
      <c r="C230" s="3" t="s">
        <v>203</v>
      </c>
      <c r="D230" s="4" t="s">
        <v>204</v>
      </c>
      <c r="E230" s="3" t="s">
        <v>80</v>
      </c>
      <c r="F230" s="4" t="s">
        <v>81</v>
      </c>
      <c r="G230" s="3" t="s">
        <v>23</v>
      </c>
      <c r="H230" s="3" t="s">
        <v>24</v>
      </c>
      <c r="I230" s="5" t="n">
        <v>926</v>
      </c>
      <c r="J230" s="6" t="n">
        <v>2400</v>
      </c>
      <c r="K230" s="7" t="n">
        <f aca="false">I230*J230</f>
        <v>2222400</v>
      </c>
      <c r="L230" s="8" t="n">
        <v>0.104</v>
      </c>
      <c r="M230" s="7" t="n">
        <f aca="false">K230*(1-L230)</f>
        <v>1991270.4</v>
      </c>
      <c r="N230" s="8" t="n">
        <v>0.612</v>
      </c>
      <c r="O230" s="7" t="n">
        <f aca="false">M230*N230</f>
        <v>1218657.4848</v>
      </c>
      <c r="P230" s="7" t="n">
        <f aca="false">M230-O230</f>
        <v>772612.9152</v>
      </c>
      <c r="Q230" s="3" t="s">
        <v>25</v>
      </c>
      <c r="R230" s="3" t="str">
        <f aca="false">TEXT(A230,"YYYY-MM")</f>
        <v>2025-07</v>
      </c>
    </row>
    <row r="231" customFormat="false" ht="15" hidden="false" customHeight="false" outlineLevel="0" collapsed="false">
      <c r="A231" s="2" t="n">
        <v>45852</v>
      </c>
      <c r="B231" s="3" t="s">
        <v>622</v>
      </c>
      <c r="C231" s="3" t="s">
        <v>405</v>
      </c>
      <c r="D231" s="4" t="s">
        <v>132</v>
      </c>
      <c r="E231" s="3" t="s">
        <v>58</v>
      </c>
      <c r="F231" s="4" t="s">
        <v>59</v>
      </c>
      <c r="G231" s="3" t="s">
        <v>23</v>
      </c>
      <c r="H231" s="3" t="s">
        <v>44</v>
      </c>
      <c r="I231" s="5" t="n">
        <v>810</v>
      </c>
      <c r="J231" s="6" t="n">
        <v>9910</v>
      </c>
      <c r="K231" s="7" t="n">
        <f aca="false">I231*J231</f>
        <v>8027100</v>
      </c>
      <c r="L231" s="8" t="n">
        <v>0.107</v>
      </c>
      <c r="M231" s="7" t="n">
        <f aca="false">K231*(1-L231)</f>
        <v>7168200.3</v>
      </c>
      <c r="N231" s="8" t="n">
        <v>0.714</v>
      </c>
      <c r="O231" s="7" t="n">
        <f aca="false">M231*N231</f>
        <v>5118095.0142</v>
      </c>
      <c r="P231" s="7" t="n">
        <f aca="false">M231-O231</f>
        <v>2050105.2858</v>
      </c>
      <c r="Q231" s="3" t="s">
        <v>25</v>
      </c>
      <c r="R231" s="3" t="str">
        <f aca="false">TEXT(A231,"YYYY-MM")</f>
        <v>2025-07</v>
      </c>
    </row>
    <row r="232" customFormat="false" ht="15" hidden="false" customHeight="false" outlineLevel="0" collapsed="false">
      <c r="A232" s="2" t="n">
        <v>45852</v>
      </c>
      <c r="B232" s="3" t="s">
        <v>623</v>
      </c>
      <c r="C232" s="3" t="s">
        <v>448</v>
      </c>
      <c r="D232" s="4" t="s">
        <v>449</v>
      </c>
      <c r="E232" s="3" t="s">
        <v>485</v>
      </c>
      <c r="F232" s="4" t="s">
        <v>486</v>
      </c>
      <c r="G232" s="3" t="s">
        <v>31</v>
      </c>
      <c r="H232" s="3" t="s">
        <v>44</v>
      </c>
      <c r="I232" s="5" t="n">
        <v>799</v>
      </c>
      <c r="J232" s="6" t="n">
        <v>1700</v>
      </c>
      <c r="K232" s="7" t="n">
        <f aca="false">I232*J232</f>
        <v>1358300</v>
      </c>
      <c r="L232" s="8" t="n">
        <v>0.148</v>
      </c>
      <c r="M232" s="7" t="n">
        <f aca="false">K232*(1-L232)</f>
        <v>1157271.6</v>
      </c>
      <c r="N232" s="8" t="n">
        <v>0.62</v>
      </c>
      <c r="O232" s="7" t="n">
        <f aca="false">M232*N232</f>
        <v>717508.392</v>
      </c>
      <c r="P232" s="7" t="n">
        <f aca="false">M232-O232</f>
        <v>439763.208</v>
      </c>
      <c r="Q232" s="3" t="s">
        <v>25</v>
      </c>
      <c r="R232" s="3" t="str">
        <f aca="false">TEXT(A232,"YYYY-MM")</f>
        <v>2025-07</v>
      </c>
    </row>
    <row r="233" customFormat="false" ht="15" hidden="false" customHeight="false" outlineLevel="0" collapsed="false">
      <c r="A233" s="2" t="n">
        <v>45853</v>
      </c>
      <c r="B233" s="3" t="s">
        <v>624</v>
      </c>
      <c r="C233" s="3" t="s">
        <v>408</v>
      </c>
      <c r="D233" s="4" t="s">
        <v>409</v>
      </c>
      <c r="E233" s="3" t="s">
        <v>219</v>
      </c>
      <c r="F233" s="4" t="s">
        <v>220</v>
      </c>
      <c r="G233" s="3" t="s">
        <v>23</v>
      </c>
      <c r="H233" s="3" t="s">
        <v>44</v>
      </c>
      <c r="I233" s="5" t="n">
        <v>725</v>
      </c>
      <c r="J233" s="6" t="n">
        <v>13570</v>
      </c>
      <c r="K233" s="7" t="n">
        <f aca="false">I233*J233</f>
        <v>9838250</v>
      </c>
      <c r="L233" s="8" t="n">
        <v>0.094</v>
      </c>
      <c r="M233" s="7" t="n">
        <f aca="false">K233*(1-L233)</f>
        <v>8913454.5</v>
      </c>
      <c r="N233" s="8" t="n">
        <v>0.604</v>
      </c>
      <c r="O233" s="7" t="n">
        <f aca="false">M233*N233</f>
        <v>5383726.518</v>
      </c>
      <c r="P233" s="7" t="n">
        <f aca="false">M233-O233</f>
        <v>3529727.982</v>
      </c>
      <c r="Q233" s="3" t="s">
        <v>25</v>
      </c>
      <c r="R233" s="3" t="str">
        <f aca="false">TEXT(A233,"YYYY-MM")</f>
        <v>2025-07</v>
      </c>
    </row>
    <row r="234" customFormat="false" ht="15" hidden="false" customHeight="false" outlineLevel="0" collapsed="false">
      <c r="A234" s="2" t="n">
        <v>45854</v>
      </c>
      <c r="B234" s="3" t="s">
        <v>625</v>
      </c>
      <c r="C234" s="3" t="s">
        <v>203</v>
      </c>
      <c r="D234" s="4" t="s">
        <v>204</v>
      </c>
      <c r="E234" s="3" t="s">
        <v>411</v>
      </c>
      <c r="F234" s="4" t="s">
        <v>412</v>
      </c>
      <c r="G234" s="3" t="s">
        <v>23</v>
      </c>
      <c r="H234" s="3" t="s">
        <v>24</v>
      </c>
      <c r="I234" s="5" t="n">
        <v>222</v>
      </c>
      <c r="J234" s="6" t="n">
        <v>11490</v>
      </c>
      <c r="K234" s="7" t="n">
        <f aca="false">I234*J234</f>
        <v>2550780</v>
      </c>
      <c r="L234" s="8" t="n">
        <v>0</v>
      </c>
      <c r="M234" s="7" t="n">
        <f aca="false">K234*(1-L234)</f>
        <v>2550780</v>
      </c>
      <c r="N234" s="8" t="n">
        <v>0.635</v>
      </c>
      <c r="O234" s="7" t="n">
        <f aca="false">M234*N234</f>
        <v>1619745.3</v>
      </c>
      <c r="P234" s="7" t="n">
        <f aca="false">M234-O234</f>
        <v>931034.7</v>
      </c>
      <c r="Q234" s="3" t="s">
        <v>25</v>
      </c>
      <c r="R234" s="3" t="str">
        <f aca="false">TEXT(A234,"YYYY-MM")</f>
        <v>2025-07</v>
      </c>
    </row>
    <row r="235" customFormat="false" ht="15" hidden="false" customHeight="false" outlineLevel="0" collapsed="false">
      <c r="A235" s="2" t="n">
        <v>45855</v>
      </c>
      <c r="B235" s="3" t="s">
        <v>626</v>
      </c>
      <c r="C235" s="3" t="s">
        <v>131</v>
      </c>
      <c r="D235" s="4" t="s">
        <v>132</v>
      </c>
      <c r="E235" s="3" t="s">
        <v>139</v>
      </c>
      <c r="F235" s="4" t="s">
        <v>140</v>
      </c>
      <c r="G235" s="3" t="s">
        <v>23</v>
      </c>
      <c r="H235" s="3" t="s">
        <v>44</v>
      </c>
      <c r="I235" s="5" t="n">
        <v>836</v>
      </c>
      <c r="J235" s="6" t="n">
        <v>14280</v>
      </c>
      <c r="K235" s="7" t="n">
        <f aca="false">I235*J235</f>
        <v>11938080</v>
      </c>
      <c r="L235" s="8" t="n">
        <v>0.148</v>
      </c>
      <c r="M235" s="7" t="n">
        <f aca="false">K235*(1-L235)</f>
        <v>10171244.16</v>
      </c>
      <c r="N235" s="8" t="n">
        <v>0.632</v>
      </c>
      <c r="O235" s="7" t="n">
        <f aca="false">M235*N235</f>
        <v>6428226.30912</v>
      </c>
      <c r="P235" s="7" t="n">
        <f aca="false">M235-O235</f>
        <v>3743017.85088</v>
      </c>
      <c r="Q235" s="3" t="s">
        <v>25</v>
      </c>
      <c r="R235" s="3" t="str">
        <f aca="false">TEXT(A235,"YYYY-MM")</f>
        <v>2025-07</v>
      </c>
    </row>
    <row r="236" customFormat="false" ht="15" hidden="false" customHeight="false" outlineLevel="0" collapsed="false">
      <c r="A236" s="2" t="n">
        <v>45855</v>
      </c>
      <c r="B236" s="3" t="s">
        <v>627</v>
      </c>
      <c r="C236" s="3" t="s">
        <v>167</v>
      </c>
      <c r="D236" s="4" t="s">
        <v>168</v>
      </c>
      <c r="E236" s="3" t="s">
        <v>527</v>
      </c>
      <c r="F236" s="4" t="s">
        <v>528</v>
      </c>
      <c r="G236" s="3" t="s">
        <v>37</v>
      </c>
      <c r="H236" s="3" t="s">
        <v>38</v>
      </c>
      <c r="I236" s="5" t="n">
        <v>117</v>
      </c>
      <c r="J236" s="6" t="n">
        <v>1580</v>
      </c>
      <c r="K236" s="7" t="n">
        <f aca="false">I236*J236</f>
        <v>184860</v>
      </c>
      <c r="L236" s="8" t="n">
        <v>0.027</v>
      </c>
      <c r="M236" s="7" t="n">
        <f aca="false">K236*(1-L236)</f>
        <v>179868.78</v>
      </c>
      <c r="N236" s="8" t="n">
        <v>0.669</v>
      </c>
      <c r="O236" s="7" t="n">
        <f aca="false">M236*N236</f>
        <v>120332.21382</v>
      </c>
      <c r="P236" s="7" t="n">
        <f aca="false">M236-O236</f>
        <v>59536.56618</v>
      </c>
      <c r="Q236" s="3" t="s">
        <v>25</v>
      </c>
      <c r="R236" s="3" t="str">
        <f aca="false">TEXT(A236,"YYYY-MM")</f>
        <v>2025-07</v>
      </c>
    </row>
    <row r="237" customFormat="false" ht="15" hidden="false" customHeight="false" outlineLevel="0" collapsed="false">
      <c r="A237" s="2" t="n">
        <v>45859</v>
      </c>
      <c r="B237" s="3" t="s">
        <v>628</v>
      </c>
      <c r="C237" s="3" t="s">
        <v>417</v>
      </c>
      <c r="D237" s="4" t="s">
        <v>418</v>
      </c>
      <c r="E237" s="3" t="s">
        <v>75</v>
      </c>
      <c r="F237" s="4" t="s">
        <v>76</v>
      </c>
      <c r="G237" s="3" t="s">
        <v>31</v>
      </c>
      <c r="H237" s="3" t="s">
        <v>44</v>
      </c>
      <c r="I237" s="5" t="n">
        <v>739</v>
      </c>
      <c r="J237" s="6" t="n">
        <v>3600</v>
      </c>
      <c r="K237" s="7" t="n">
        <f aca="false">I237*J237</f>
        <v>2660400</v>
      </c>
      <c r="L237" s="8" t="n">
        <v>0.106</v>
      </c>
      <c r="M237" s="7" t="n">
        <f aca="false">K237*(1-L237)</f>
        <v>2378397.6</v>
      </c>
      <c r="N237" s="8" t="n">
        <v>0.624</v>
      </c>
      <c r="O237" s="7" t="n">
        <f aca="false">M237*N237</f>
        <v>1484120.1024</v>
      </c>
      <c r="P237" s="7" t="n">
        <f aca="false">M237-O237</f>
        <v>894277.4976</v>
      </c>
      <c r="Q237" s="3" t="s">
        <v>155</v>
      </c>
      <c r="R237" s="3" t="str">
        <f aca="false">TEXT(A237,"YYYY-MM")</f>
        <v>2025-07</v>
      </c>
    </row>
    <row r="238" customFormat="false" ht="15" hidden="false" customHeight="false" outlineLevel="0" collapsed="false">
      <c r="A238" s="2" t="n">
        <v>45859</v>
      </c>
      <c r="B238" s="3" t="s">
        <v>629</v>
      </c>
      <c r="C238" s="3" t="s">
        <v>194</v>
      </c>
      <c r="D238" s="4" t="s">
        <v>195</v>
      </c>
      <c r="E238" s="3" t="s">
        <v>479</v>
      </c>
      <c r="F238" s="4" t="s">
        <v>480</v>
      </c>
      <c r="G238" s="3" t="s">
        <v>31</v>
      </c>
      <c r="H238" s="3" t="s">
        <v>38</v>
      </c>
      <c r="I238" s="5" t="n">
        <v>950</v>
      </c>
      <c r="J238" s="6" t="n">
        <v>1950</v>
      </c>
      <c r="K238" s="7" t="n">
        <f aca="false">I238*J238</f>
        <v>1852500</v>
      </c>
      <c r="L238" s="8" t="n">
        <v>0.12</v>
      </c>
      <c r="M238" s="7" t="n">
        <f aca="false">K238*(1-L238)</f>
        <v>1630200</v>
      </c>
      <c r="N238" s="8" t="n">
        <v>0.633</v>
      </c>
      <c r="O238" s="7" t="n">
        <f aca="false">M238*N238</f>
        <v>1031916.6</v>
      </c>
      <c r="P238" s="7" t="n">
        <f aca="false">M238-O238</f>
        <v>598283.4</v>
      </c>
      <c r="Q238" s="3" t="s">
        <v>25</v>
      </c>
      <c r="R238" s="3" t="str">
        <f aca="false">TEXT(A238,"YYYY-MM")</f>
        <v>2025-07</v>
      </c>
    </row>
    <row r="239" customFormat="false" ht="15" hidden="false" customHeight="false" outlineLevel="0" collapsed="false">
      <c r="A239" s="2" t="n">
        <v>45860</v>
      </c>
      <c r="B239" s="3" t="s">
        <v>630</v>
      </c>
      <c r="C239" s="3" t="s">
        <v>631</v>
      </c>
      <c r="D239" s="4" t="s">
        <v>632</v>
      </c>
      <c r="E239" s="3" t="s">
        <v>633</v>
      </c>
      <c r="F239" s="4" t="s">
        <v>634</v>
      </c>
      <c r="G239" s="3" t="s">
        <v>23</v>
      </c>
      <c r="H239" s="3" t="s">
        <v>24</v>
      </c>
      <c r="I239" s="5" t="n">
        <v>579</v>
      </c>
      <c r="J239" s="6" t="n">
        <v>5300</v>
      </c>
      <c r="K239" s="7" t="n">
        <f aca="false">I239*J239</f>
        <v>3068700</v>
      </c>
      <c r="L239" s="8" t="n">
        <v>0.064</v>
      </c>
      <c r="M239" s="7" t="n">
        <f aca="false">K239*(1-L239)</f>
        <v>2872303.2</v>
      </c>
      <c r="N239" s="8" t="n">
        <v>0.619</v>
      </c>
      <c r="O239" s="7" t="n">
        <f aca="false">M239*N239</f>
        <v>1777955.6808</v>
      </c>
      <c r="P239" s="7" t="n">
        <f aca="false">M239-O239</f>
        <v>1094347.5192</v>
      </c>
      <c r="Q239" s="3" t="s">
        <v>25</v>
      </c>
      <c r="R239" s="3" t="str">
        <f aca="false">TEXT(A239,"YYYY-MM")</f>
        <v>2025-07</v>
      </c>
    </row>
    <row r="240" customFormat="false" ht="15" hidden="false" customHeight="false" outlineLevel="0" collapsed="false">
      <c r="A240" s="2" t="n">
        <v>45860</v>
      </c>
      <c r="B240" s="3" t="s">
        <v>635</v>
      </c>
      <c r="C240" s="3" t="s">
        <v>298</v>
      </c>
      <c r="D240" s="4" t="s">
        <v>299</v>
      </c>
      <c r="E240" s="3" t="s">
        <v>94</v>
      </c>
      <c r="F240" s="4" t="s">
        <v>95</v>
      </c>
      <c r="G240" s="3" t="s">
        <v>31</v>
      </c>
      <c r="H240" s="3" t="s">
        <v>38</v>
      </c>
      <c r="I240" s="5" t="n">
        <v>247</v>
      </c>
      <c r="J240" s="6" t="n">
        <v>2860</v>
      </c>
      <c r="K240" s="7" t="n">
        <f aca="false">I240*J240</f>
        <v>706420</v>
      </c>
      <c r="L240" s="8" t="n">
        <v>0</v>
      </c>
      <c r="M240" s="7" t="n">
        <f aca="false">K240*(1-L240)</f>
        <v>706420</v>
      </c>
      <c r="N240" s="8" t="n">
        <v>0.717</v>
      </c>
      <c r="O240" s="7" t="n">
        <f aca="false">M240*N240</f>
        <v>506503.14</v>
      </c>
      <c r="P240" s="7" t="n">
        <f aca="false">M240-O240</f>
        <v>199916.86</v>
      </c>
      <c r="Q240" s="3" t="s">
        <v>25</v>
      </c>
      <c r="R240" s="3" t="str">
        <f aca="false">TEXT(A240,"YYYY-MM")</f>
        <v>2025-07</v>
      </c>
    </row>
    <row r="241" customFormat="false" ht="15" hidden="false" customHeight="false" outlineLevel="0" collapsed="false">
      <c r="A241" s="2" t="n">
        <v>45861</v>
      </c>
      <c r="B241" s="3" t="s">
        <v>636</v>
      </c>
      <c r="C241" s="3" t="s">
        <v>637</v>
      </c>
      <c r="D241" s="4" t="s">
        <v>638</v>
      </c>
      <c r="E241" s="3" t="s">
        <v>246</v>
      </c>
      <c r="F241" s="4" t="s">
        <v>247</v>
      </c>
      <c r="G241" s="3" t="s">
        <v>31</v>
      </c>
      <c r="H241" s="3" t="s">
        <v>24</v>
      </c>
      <c r="I241" s="5" t="n">
        <v>983</v>
      </c>
      <c r="J241" s="6" t="n">
        <v>3180</v>
      </c>
      <c r="K241" s="7" t="n">
        <f aca="false">I241*J241</f>
        <v>3125940</v>
      </c>
      <c r="L241" s="8" t="n">
        <v>0.123</v>
      </c>
      <c r="M241" s="7" t="n">
        <f aca="false">K241*(1-L241)</f>
        <v>2741449.38</v>
      </c>
      <c r="N241" s="8" t="n">
        <v>0.742</v>
      </c>
      <c r="O241" s="7" t="n">
        <f aca="false">M241*N241</f>
        <v>2034155.43996</v>
      </c>
      <c r="P241" s="7" t="n">
        <f aca="false">M241-O241</f>
        <v>707293.94004</v>
      </c>
      <c r="Q241" s="3" t="s">
        <v>25</v>
      </c>
      <c r="R241" s="3" t="str">
        <f aca="false">TEXT(A241,"YYYY-MM")</f>
        <v>2025-07</v>
      </c>
    </row>
    <row r="242" customFormat="false" ht="15" hidden="false" customHeight="false" outlineLevel="0" collapsed="false">
      <c r="A242" s="2" t="n">
        <v>45861</v>
      </c>
      <c r="B242" s="3" t="s">
        <v>639</v>
      </c>
      <c r="C242" s="3" t="s">
        <v>100</v>
      </c>
      <c r="D242" s="4" t="s">
        <v>101</v>
      </c>
      <c r="E242" s="3" t="s">
        <v>473</v>
      </c>
      <c r="F242" s="4" t="s">
        <v>474</v>
      </c>
      <c r="G242" s="3" t="s">
        <v>31</v>
      </c>
      <c r="H242" s="3" t="s">
        <v>44</v>
      </c>
      <c r="I242" s="5" t="n">
        <v>344</v>
      </c>
      <c r="J242" s="6" t="n">
        <v>3410</v>
      </c>
      <c r="K242" s="7" t="n">
        <f aca="false">I242*J242</f>
        <v>1173040</v>
      </c>
      <c r="L242" s="8" t="n">
        <v>0.09</v>
      </c>
      <c r="M242" s="7" t="n">
        <f aca="false">K242*(1-L242)</f>
        <v>1067466.4</v>
      </c>
      <c r="N242" s="8" t="n">
        <v>0.725</v>
      </c>
      <c r="O242" s="7" t="n">
        <f aca="false">M242*N242</f>
        <v>773913.14</v>
      </c>
      <c r="P242" s="7" t="n">
        <f aca="false">M242-O242</f>
        <v>293553.26</v>
      </c>
      <c r="Q242" s="3" t="s">
        <v>25</v>
      </c>
      <c r="R242" s="3" t="str">
        <f aca="false">TEXT(A242,"YYYY-MM")</f>
        <v>2025-07</v>
      </c>
    </row>
    <row r="243" customFormat="false" ht="15" hidden="false" customHeight="false" outlineLevel="0" collapsed="false">
      <c r="A243" s="2" t="n">
        <v>45862</v>
      </c>
      <c r="B243" s="3" t="s">
        <v>640</v>
      </c>
      <c r="C243" s="3" t="s">
        <v>493</v>
      </c>
      <c r="D243" s="4" t="s">
        <v>494</v>
      </c>
      <c r="E243" s="3" t="s">
        <v>158</v>
      </c>
      <c r="F243" s="4" t="s">
        <v>159</v>
      </c>
      <c r="G243" s="3" t="s">
        <v>23</v>
      </c>
      <c r="H243" s="3" t="s">
        <v>24</v>
      </c>
      <c r="I243" s="5" t="n">
        <v>469</v>
      </c>
      <c r="J243" s="6" t="n">
        <v>13910</v>
      </c>
      <c r="K243" s="7" t="n">
        <f aca="false">I243*J243</f>
        <v>6523790</v>
      </c>
      <c r="L243" s="8" t="n">
        <v>0.087</v>
      </c>
      <c r="M243" s="7" t="n">
        <f aca="false">K243*(1-L243)</f>
        <v>5956220.27</v>
      </c>
      <c r="N243" s="8" t="n">
        <v>0.633</v>
      </c>
      <c r="O243" s="7" t="n">
        <f aca="false">M243*N243</f>
        <v>3770287.43091</v>
      </c>
      <c r="P243" s="7" t="n">
        <f aca="false">M243-O243</f>
        <v>2185932.83909</v>
      </c>
      <c r="Q243" s="3" t="s">
        <v>25</v>
      </c>
      <c r="R243" s="3" t="str">
        <f aca="false">TEXT(A243,"YYYY-MM")</f>
        <v>2025-07</v>
      </c>
    </row>
    <row r="244" customFormat="false" ht="15" hidden="false" customHeight="false" outlineLevel="0" collapsed="false">
      <c r="A244" s="2" t="n">
        <v>45862</v>
      </c>
      <c r="B244" s="3" t="s">
        <v>641</v>
      </c>
      <c r="C244" s="3" t="s">
        <v>97</v>
      </c>
      <c r="D244" s="4" t="s">
        <v>98</v>
      </c>
      <c r="E244" s="3" t="s">
        <v>227</v>
      </c>
      <c r="F244" s="4" t="s">
        <v>228</v>
      </c>
      <c r="G244" s="3" t="s">
        <v>31</v>
      </c>
      <c r="H244" s="3" t="s">
        <v>44</v>
      </c>
      <c r="I244" s="5" t="n">
        <v>420</v>
      </c>
      <c r="J244" s="6" t="n">
        <v>5040</v>
      </c>
      <c r="K244" s="7" t="n">
        <f aca="false">I244*J244</f>
        <v>2116800</v>
      </c>
      <c r="L244" s="8" t="n">
        <v>0.048</v>
      </c>
      <c r="M244" s="7" t="n">
        <f aca="false">K244*(1-L244)</f>
        <v>2015193.6</v>
      </c>
      <c r="N244" s="8" t="n">
        <v>0.697</v>
      </c>
      <c r="O244" s="7" t="n">
        <f aca="false">M244*N244</f>
        <v>1404589.9392</v>
      </c>
      <c r="P244" s="7" t="n">
        <f aca="false">M244-O244</f>
        <v>610603.6608</v>
      </c>
      <c r="Q244" s="3" t="s">
        <v>25</v>
      </c>
      <c r="R244" s="3" t="str">
        <f aca="false">TEXT(A244,"YYYY-MM")</f>
        <v>2025-07</v>
      </c>
    </row>
    <row r="245" customFormat="false" ht="15" hidden="false" customHeight="false" outlineLevel="0" collapsed="false">
      <c r="A245" s="2" t="n">
        <v>45863</v>
      </c>
      <c r="B245" s="3" t="s">
        <v>642</v>
      </c>
      <c r="C245" s="3" t="s">
        <v>100</v>
      </c>
      <c r="D245" s="4" t="s">
        <v>101</v>
      </c>
      <c r="E245" s="3" t="s">
        <v>374</v>
      </c>
      <c r="F245" s="4" t="s">
        <v>375</v>
      </c>
      <c r="G245" s="3" t="s">
        <v>23</v>
      </c>
      <c r="H245" s="3" t="s">
        <v>44</v>
      </c>
      <c r="I245" s="5" t="n">
        <v>752</v>
      </c>
      <c r="J245" s="6" t="n">
        <v>5680</v>
      </c>
      <c r="K245" s="7" t="n">
        <f aca="false">I245*J245</f>
        <v>4271360</v>
      </c>
      <c r="L245" s="8" t="n">
        <v>0.088</v>
      </c>
      <c r="M245" s="7" t="n">
        <f aca="false">K245*(1-L245)</f>
        <v>3895480.32</v>
      </c>
      <c r="N245" s="8" t="n">
        <v>0.674</v>
      </c>
      <c r="O245" s="7" t="n">
        <f aca="false">M245*N245</f>
        <v>2625553.73568</v>
      </c>
      <c r="P245" s="7" t="n">
        <f aca="false">M245-O245</f>
        <v>1269926.58432</v>
      </c>
      <c r="Q245" s="3" t="s">
        <v>25</v>
      </c>
      <c r="R245" s="3" t="str">
        <f aca="false">TEXT(A245,"YYYY-MM")</f>
        <v>2025-07</v>
      </c>
    </row>
    <row r="246" customFormat="false" ht="15" hidden="false" customHeight="false" outlineLevel="0" collapsed="false">
      <c r="A246" s="2" t="n">
        <v>45865</v>
      </c>
      <c r="B246" s="3" t="s">
        <v>643</v>
      </c>
      <c r="C246" s="3" t="s">
        <v>471</v>
      </c>
      <c r="D246" s="4" t="s">
        <v>472</v>
      </c>
      <c r="E246" s="3" t="s">
        <v>227</v>
      </c>
      <c r="F246" s="4" t="s">
        <v>228</v>
      </c>
      <c r="G246" s="3" t="s">
        <v>31</v>
      </c>
      <c r="H246" s="3" t="s">
        <v>38</v>
      </c>
      <c r="I246" s="5" t="n">
        <v>307</v>
      </c>
      <c r="J246" s="6" t="n">
        <v>5040</v>
      </c>
      <c r="K246" s="7" t="n">
        <f aca="false">I246*J246</f>
        <v>1547280</v>
      </c>
      <c r="L246" s="8" t="n">
        <v>0.064</v>
      </c>
      <c r="M246" s="7" t="n">
        <f aca="false">K246*(1-L246)</f>
        <v>1448254.08</v>
      </c>
      <c r="N246" s="8" t="n">
        <v>0.72</v>
      </c>
      <c r="O246" s="7" t="n">
        <f aca="false">M246*N246</f>
        <v>1042742.9376</v>
      </c>
      <c r="P246" s="7" t="n">
        <f aca="false">M246-O246</f>
        <v>405511.1424</v>
      </c>
      <c r="Q246" s="3" t="s">
        <v>25</v>
      </c>
      <c r="R246" s="3" t="str">
        <f aca="false">TEXT(A246,"YYYY-MM")</f>
        <v>2025-07</v>
      </c>
    </row>
    <row r="247" customFormat="false" ht="15" hidden="false" customHeight="false" outlineLevel="0" collapsed="false">
      <c r="A247" s="2" t="n">
        <v>45866</v>
      </c>
      <c r="B247" s="3" t="s">
        <v>644</v>
      </c>
      <c r="C247" s="3" t="s">
        <v>252</v>
      </c>
      <c r="D247" s="4" t="s">
        <v>253</v>
      </c>
      <c r="E247" s="3" t="s">
        <v>149</v>
      </c>
      <c r="F247" s="4" t="s">
        <v>150</v>
      </c>
      <c r="G247" s="3" t="s">
        <v>151</v>
      </c>
      <c r="H247" s="3" t="s">
        <v>44</v>
      </c>
      <c r="I247" s="5" t="n">
        <v>299</v>
      </c>
      <c r="J247" s="6" t="n">
        <v>9310</v>
      </c>
      <c r="K247" s="7" t="n">
        <f aca="false">I247*J247</f>
        <v>2783690</v>
      </c>
      <c r="L247" s="8" t="n">
        <v>0.014</v>
      </c>
      <c r="M247" s="7" t="n">
        <f aca="false">K247*(1-L247)</f>
        <v>2744718.34</v>
      </c>
      <c r="N247" s="8" t="n">
        <v>0.664</v>
      </c>
      <c r="O247" s="7" t="n">
        <f aca="false">M247*N247</f>
        <v>1822492.97776</v>
      </c>
      <c r="P247" s="7" t="n">
        <f aca="false">M247-O247</f>
        <v>922225.36224</v>
      </c>
      <c r="Q247" s="3" t="s">
        <v>82</v>
      </c>
      <c r="R247" s="3" t="str">
        <f aca="false">TEXT(A247,"YYYY-MM")</f>
        <v>2025-07</v>
      </c>
    </row>
    <row r="248" customFormat="false" ht="15" hidden="false" customHeight="false" outlineLevel="0" collapsed="false">
      <c r="A248" s="2" t="n">
        <v>45867</v>
      </c>
      <c r="B248" s="3" t="s">
        <v>645</v>
      </c>
      <c r="C248" s="3" t="s">
        <v>646</v>
      </c>
      <c r="D248" s="4" t="s">
        <v>647</v>
      </c>
      <c r="E248" s="3" t="s">
        <v>227</v>
      </c>
      <c r="F248" s="4" t="s">
        <v>228</v>
      </c>
      <c r="G248" s="3" t="s">
        <v>31</v>
      </c>
      <c r="H248" s="3" t="s">
        <v>24</v>
      </c>
      <c r="I248" s="5" t="n">
        <v>633</v>
      </c>
      <c r="J248" s="6" t="n">
        <v>5040</v>
      </c>
      <c r="K248" s="7" t="n">
        <f aca="false">I248*J248</f>
        <v>3190320</v>
      </c>
      <c r="L248" s="8" t="n">
        <v>0.147</v>
      </c>
      <c r="M248" s="7" t="n">
        <f aca="false">K248*(1-L248)</f>
        <v>2721342.96</v>
      </c>
      <c r="N248" s="8" t="n">
        <v>0.687</v>
      </c>
      <c r="O248" s="7" t="n">
        <f aca="false">M248*N248</f>
        <v>1869562.61352</v>
      </c>
      <c r="P248" s="7" t="n">
        <f aca="false">M248-O248</f>
        <v>851780.34648</v>
      </c>
      <c r="Q248" s="3" t="s">
        <v>25</v>
      </c>
      <c r="R248" s="3" t="str">
        <f aca="false">TEXT(A248,"YYYY-MM")</f>
        <v>2025-07</v>
      </c>
    </row>
    <row r="249" customFormat="false" ht="15" hidden="false" customHeight="false" outlineLevel="0" collapsed="false">
      <c r="A249" s="2" t="n">
        <v>45868</v>
      </c>
      <c r="B249" s="3" t="s">
        <v>648</v>
      </c>
      <c r="C249" s="3" t="s">
        <v>649</v>
      </c>
      <c r="D249" s="4" t="s">
        <v>650</v>
      </c>
      <c r="E249" s="3" t="s">
        <v>71</v>
      </c>
      <c r="F249" s="4" t="s">
        <v>72</v>
      </c>
      <c r="G249" s="3" t="s">
        <v>23</v>
      </c>
      <c r="H249" s="3" t="s">
        <v>38</v>
      </c>
      <c r="I249" s="5" t="n">
        <v>855</v>
      </c>
      <c r="J249" s="6" t="n">
        <v>6740</v>
      </c>
      <c r="K249" s="7" t="n">
        <f aca="false">I249*J249</f>
        <v>5762700</v>
      </c>
      <c r="L249" s="8" t="n">
        <v>0.1</v>
      </c>
      <c r="M249" s="7" t="n">
        <f aca="false">K249*(1-L249)</f>
        <v>5186430</v>
      </c>
      <c r="N249" s="8" t="n">
        <v>0.672</v>
      </c>
      <c r="O249" s="7" t="n">
        <f aca="false">M249*N249</f>
        <v>3485280.96</v>
      </c>
      <c r="P249" s="7" t="n">
        <f aca="false">M249-O249</f>
        <v>1701149.04</v>
      </c>
      <c r="Q249" s="3" t="s">
        <v>25</v>
      </c>
      <c r="R249" s="3" t="str">
        <f aca="false">TEXT(A249,"YYYY-MM")</f>
        <v>2025-07</v>
      </c>
    </row>
    <row r="250" customFormat="false" ht="15" hidden="false" customHeight="false" outlineLevel="0" collapsed="false">
      <c r="A250" s="2" t="n">
        <v>45869</v>
      </c>
      <c r="B250" s="3" t="s">
        <v>651</v>
      </c>
      <c r="C250" s="3" t="s">
        <v>503</v>
      </c>
      <c r="D250" s="4" t="s">
        <v>504</v>
      </c>
      <c r="E250" s="3" t="s">
        <v>544</v>
      </c>
      <c r="F250" s="4" t="s">
        <v>545</v>
      </c>
      <c r="G250" s="3" t="s">
        <v>23</v>
      </c>
      <c r="H250" s="3" t="s">
        <v>24</v>
      </c>
      <c r="I250" s="5" t="n">
        <v>215</v>
      </c>
      <c r="J250" s="6" t="n">
        <v>4750</v>
      </c>
      <c r="K250" s="7" t="n">
        <f aca="false">I250*J250</f>
        <v>1021250</v>
      </c>
      <c r="L250" s="8" t="n">
        <v>0</v>
      </c>
      <c r="M250" s="7" t="n">
        <f aca="false">K250*(1-L250)</f>
        <v>1021250</v>
      </c>
      <c r="N250" s="8" t="n">
        <v>0.658</v>
      </c>
      <c r="O250" s="7" t="n">
        <f aca="false">M250*N250</f>
        <v>671982.5</v>
      </c>
      <c r="P250" s="7" t="n">
        <f aca="false">M250-O250</f>
        <v>349267.5</v>
      </c>
      <c r="Q250" s="3" t="s">
        <v>25</v>
      </c>
      <c r="R250" s="3" t="str">
        <f aca="false">TEXT(A250,"YYYY-MM")</f>
        <v>2025-07</v>
      </c>
    </row>
    <row r="251" customFormat="false" ht="15" hidden="false" customHeight="false" outlineLevel="0" collapsed="false">
      <c r="A251" s="2" t="n">
        <v>45869</v>
      </c>
      <c r="B251" s="3" t="s">
        <v>652</v>
      </c>
      <c r="C251" s="3" t="s">
        <v>503</v>
      </c>
      <c r="D251" s="4" t="s">
        <v>504</v>
      </c>
      <c r="E251" s="3" t="s">
        <v>58</v>
      </c>
      <c r="F251" s="4" t="s">
        <v>59</v>
      </c>
      <c r="G251" s="3" t="s">
        <v>23</v>
      </c>
      <c r="H251" s="3" t="s">
        <v>24</v>
      </c>
      <c r="I251" s="5" t="n">
        <v>918</v>
      </c>
      <c r="J251" s="6" t="n">
        <v>9910</v>
      </c>
      <c r="K251" s="7" t="n">
        <f aca="false">I251*J251</f>
        <v>9097380</v>
      </c>
      <c r="L251" s="8" t="n">
        <v>0.112</v>
      </c>
      <c r="M251" s="7" t="n">
        <f aca="false">K251*(1-L251)</f>
        <v>8078473.44</v>
      </c>
      <c r="N251" s="8" t="n">
        <v>0.737</v>
      </c>
      <c r="O251" s="7" t="n">
        <f aca="false">M251*N251</f>
        <v>5953834.92528</v>
      </c>
      <c r="P251" s="7" t="n">
        <f aca="false">M251-O251</f>
        <v>2124638.51472</v>
      </c>
      <c r="Q251" s="3" t="s">
        <v>25</v>
      </c>
      <c r="R251" s="3" t="str">
        <f aca="false">TEXT(A251,"YYYY-MM")</f>
        <v>2025-07</v>
      </c>
    </row>
    <row r="252" customFormat="false" ht="15" hidden="false" customHeight="false" outlineLevel="0" collapsed="false">
      <c r="A252" s="2" t="n">
        <v>45869</v>
      </c>
      <c r="B252" s="3" t="s">
        <v>653</v>
      </c>
      <c r="C252" s="3" t="s">
        <v>40</v>
      </c>
      <c r="D252" s="4" t="s">
        <v>41</v>
      </c>
      <c r="E252" s="3" t="s">
        <v>654</v>
      </c>
      <c r="F252" s="4" t="s">
        <v>655</v>
      </c>
      <c r="G252" s="3" t="s">
        <v>37</v>
      </c>
      <c r="H252" s="3" t="s">
        <v>44</v>
      </c>
      <c r="I252" s="5" t="n">
        <v>345</v>
      </c>
      <c r="J252" s="6" t="n">
        <v>16550</v>
      </c>
      <c r="K252" s="7" t="n">
        <f aca="false">I252*J252</f>
        <v>5709750</v>
      </c>
      <c r="L252" s="8" t="n">
        <v>0.082</v>
      </c>
      <c r="M252" s="7" t="n">
        <f aca="false">K252*(1-L252)</f>
        <v>5241550.5</v>
      </c>
      <c r="N252" s="8" t="n">
        <v>0.676</v>
      </c>
      <c r="O252" s="7" t="n">
        <f aca="false">M252*N252</f>
        <v>3543288.138</v>
      </c>
      <c r="P252" s="7" t="n">
        <f aca="false">M252-O252</f>
        <v>1698262.362</v>
      </c>
      <c r="Q252" s="3" t="s">
        <v>25</v>
      </c>
      <c r="R252" s="3" t="str">
        <f aca="false">TEXT(A252,"YYYY-MM")</f>
        <v>2025-07</v>
      </c>
    </row>
    <row r="253" customFormat="false" ht="15" hidden="false" customHeight="false" outlineLevel="0" collapsed="false">
      <c r="A253" s="2" t="n">
        <v>45869</v>
      </c>
      <c r="B253" s="3" t="s">
        <v>656</v>
      </c>
      <c r="C253" s="3" t="s">
        <v>424</v>
      </c>
      <c r="D253" s="4" t="s">
        <v>425</v>
      </c>
      <c r="E253" s="3" t="s">
        <v>657</v>
      </c>
      <c r="F253" s="4" t="s">
        <v>658</v>
      </c>
      <c r="G253" s="3" t="s">
        <v>37</v>
      </c>
      <c r="H253" s="3" t="s">
        <v>38</v>
      </c>
      <c r="I253" s="5" t="n">
        <v>130</v>
      </c>
      <c r="J253" s="6" t="n">
        <v>9680</v>
      </c>
      <c r="K253" s="7" t="n">
        <f aca="false">I253*J253</f>
        <v>1258400</v>
      </c>
      <c r="L253" s="8" t="n">
        <v>0</v>
      </c>
      <c r="M253" s="7" t="n">
        <f aca="false">K253*(1-L253)</f>
        <v>1258400</v>
      </c>
      <c r="N253" s="8" t="n">
        <v>0.704</v>
      </c>
      <c r="O253" s="7" t="n">
        <f aca="false">M253*N253</f>
        <v>885913.6</v>
      </c>
      <c r="P253" s="7" t="n">
        <f aca="false">M253-O253</f>
        <v>372486.4</v>
      </c>
      <c r="Q253" s="3" t="s">
        <v>25</v>
      </c>
      <c r="R253" s="3" t="str">
        <f aca="false">TEXT(A253,"YYYY-MM")</f>
        <v>2025-07</v>
      </c>
    </row>
    <row r="254" customFormat="false" ht="15" hidden="false" customHeight="false" outlineLevel="0" collapsed="false">
      <c r="A254" s="2" t="n">
        <v>45870</v>
      </c>
      <c r="B254" s="3" t="s">
        <v>659</v>
      </c>
      <c r="C254" s="3" t="s">
        <v>110</v>
      </c>
      <c r="D254" s="4" t="s">
        <v>111</v>
      </c>
      <c r="E254" s="3" t="s">
        <v>107</v>
      </c>
      <c r="F254" s="4" t="s">
        <v>108</v>
      </c>
      <c r="G254" s="3" t="s">
        <v>31</v>
      </c>
      <c r="H254" s="3" t="s">
        <v>44</v>
      </c>
      <c r="I254" s="5" t="n">
        <v>695</v>
      </c>
      <c r="J254" s="6" t="n">
        <v>3270</v>
      </c>
      <c r="K254" s="7" t="n">
        <f aca="false">I254*J254</f>
        <v>2272650</v>
      </c>
      <c r="L254" s="8" t="n">
        <v>0.091</v>
      </c>
      <c r="M254" s="7" t="n">
        <f aca="false">K254*(1-L254)</f>
        <v>2065838.85</v>
      </c>
      <c r="N254" s="8" t="n">
        <v>0.672</v>
      </c>
      <c r="O254" s="7" t="n">
        <f aca="false">M254*N254</f>
        <v>1388243.7072</v>
      </c>
      <c r="P254" s="7" t="n">
        <f aca="false">M254-O254</f>
        <v>677595.1428</v>
      </c>
      <c r="Q254" s="3" t="s">
        <v>25</v>
      </c>
      <c r="R254" s="3" t="str">
        <f aca="false">TEXT(A254,"YYYY-MM")</f>
        <v>2025-08</v>
      </c>
    </row>
    <row r="255" customFormat="false" ht="15" hidden="false" customHeight="false" outlineLevel="0" collapsed="false">
      <c r="A255" s="2" t="n">
        <v>45871</v>
      </c>
      <c r="B255" s="3" t="s">
        <v>660</v>
      </c>
      <c r="C255" s="3" t="s">
        <v>225</v>
      </c>
      <c r="D255" s="4" t="s">
        <v>226</v>
      </c>
      <c r="E255" s="3" t="s">
        <v>313</v>
      </c>
      <c r="F255" s="4" t="s">
        <v>314</v>
      </c>
      <c r="G255" s="3" t="s">
        <v>23</v>
      </c>
      <c r="H255" s="3" t="s">
        <v>44</v>
      </c>
      <c r="I255" s="5" t="n">
        <v>892</v>
      </c>
      <c r="J255" s="6" t="n">
        <v>14020</v>
      </c>
      <c r="K255" s="7" t="n">
        <f aca="false">I255*J255</f>
        <v>12505840</v>
      </c>
      <c r="L255" s="8" t="n">
        <v>0.088</v>
      </c>
      <c r="M255" s="7" t="n">
        <f aca="false">K255*(1-L255)</f>
        <v>11405326.08</v>
      </c>
      <c r="N255" s="8" t="n">
        <v>0.676</v>
      </c>
      <c r="O255" s="7" t="n">
        <f aca="false">M255*N255</f>
        <v>7710000.43008</v>
      </c>
      <c r="P255" s="7" t="n">
        <f aca="false">M255-O255</f>
        <v>3695325.64992</v>
      </c>
      <c r="Q255" s="3" t="s">
        <v>25</v>
      </c>
      <c r="R255" s="3" t="str">
        <f aca="false">TEXT(A255,"YYYY-MM")</f>
        <v>2025-08</v>
      </c>
    </row>
    <row r="256" customFormat="false" ht="15" hidden="false" customHeight="false" outlineLevel="0" collapsed="false">
      <c r="A256" s="2" t="n">
        <v>45871</v>
      </c>
      <c r="B256" s="3" t="s">
        <v>661</v>
      </c>
      <c r="C256" s="3" t="s">
        <v>381</v>
      </c>
      <c r="D256" s="4" t="s">
        <v>382</v>
      </c>
      <c r="E256" s="3" t="s">
        <v>473</v>
      </c>
      <c r="F256" s="4" t="s">
        <v>474</v>
      </c>
      <c r="G256" s="3" t="s">
        <v>31</v>
      </c>
      <c r="H256" s="3" t="s">
        <v>44</v>
      </c>
      <c r="I256" s="5" t="n">
        <v>562</v>
      </c>
      <c r="J256" s="6" t="n">
        <v>3410</v>
      </c>
      <c r="K256" s="7" t="n">
        <f aca="false">I256*J256</f>
        <v>1916420</v>
      </c>
      <c r="L256" s="8" t="n">
        <v>0.043</v>
      </c>
      <c r="M256" s="7" t="n">
        <f aca="false">K256*(1-L256)</f>
        <v>1834013.94</v>
      </c>
      <c r="N256" s="8" t="n">
        <v>0.74</v>
      </c>
      <c r="O256" s="7" t="n">
        <f aca="false">M256*N256</f>
        <v>1357170.3156</v>
      </c>
      <c r="P256" s="7" t="n">
        <f aca="false">M256-O256</f>
        <v>476843.6244</v>
      </c>
      <c r="Q256" s="3" t="s">
        <v>25</v>
      </c>
      <c r="R256" s="3" t="str">
        <f aca="false">TEXT(A256,"YYYY-MM")</f>
        <v>2025-08</v>
      </c>
    </row>
    <row r="257" customFormat="false" ht="15" hidden="false" customHeight="false" outlineLevel="0" collapsed="false">
      <c r="A257" s="2" t="n">
        <v>45871</v>
      </c>
      <c r="B257" s="3" t="s">
        <v>662</v>
      </c>
      <c r="C257" s="3" t="s">
        <v>74</v>
      </c>
      <c r="D257" s="4"/>
      <c r="E257" s="3" t="s">
        <v>485</v>
      </c>
      <c r="F257" s="4" t="s">
        <v>486</v>
      </c>
      <c r="G257" s="3" t="s">
        <v>31</v>
      </c>
      <c r="H257" s="3" t="s">
        <v>24</v>
      </c>
      <c r="I257" s="5" t="n">
        <v>241</v>
      </c>
      <c r="J257" s="6" t="n">
        <v>1700</v>
      </c>
      <c r="K257" s="7" t="n">
        <f aca="false">I257*J257</f>
        <v>409700</v>
      </c>
      <c r="L257" s="8" t="n">
        <v>0</v>
      </c>
      <c r="M257" s="7" t="n">
        <f aca="false">K257*(1-L257)</f>
        <v>409700</v>
      </c>
      <c r="N257" s="8" t="n">
        <v>0.61</v>
      </c>
      <c r="O257" s="7" t="n">
        <f aca="false">M257*N257</f>
        <v>249917</v>
      </c>
      <c r="P257" s="7" t="n">
        <f aca="false">M257-O257</f>
        <v>159783</v>
      </c>
      <c r="Q257" s="3" t="s">
        <v>82</v>
      </c>
      <c r="R257" s="3" t="str">
        <f aca="false">TEXT(A257,"YYYY-MM")</f>
        <v>2025-08</v>
      </c>
    </row>
    <row r="258" customFormat="false" ht="15" hidden="false" customHeight="false" outlineLevel="0" collapsed="false">
      <c r="A258" s="2" t="n">
        <v>45873</v>
      </c>
      <c r="B258" s="3" t="s">
        <v>663</v>
      </c>
      <c r="C258" s="3" t="s">
        <v>40</v>
      </c>
      <c r="D258" s="4" t="s">
        <v>41</v>
      </c>
      <c r="E258" s="3" t="s">
        <v>521</v>
      </c>
      <c r="F258" s="4" t="s">
        <v>522</v>
      </c>
      <c r="G258" s="3" t="s">
        <v>37</v>
      </c>
      <c r="H258" s="3" t="s">
        <v>44</v>
      </c>
      <c r="I258" s="5" t="n">
        <v>139</v>
      </c>
      <c r="J258" s="6" t="n">
        <v>6000</v>
      </c>
      <c r="K258" s="7" t="n">
        <f aca="false">I258*J258</f>
        <v>834000</v>
      </c>
      <c r="L258" s="8" t="n">
        <v>0</v>
      </c>
      <c r="M258" s="7" t="n">
        <f aca="false">K258*(1-L258)</f>
        <v>834000</v>
      </c>
      <c r="N258" s="8" t="n">
        <v>0.677</v>
      </c>
      <c r="O258" s="7" t="n">
        <f aca="false">M258*N258</f>
        <v>564618</v>
      </c>
      <c r="P258" s="7" t="n">
        <f aca="false">M258-O258</f>
        <v>269382</v>
      </c>
      <c r="Q258" s="3" t="s">
        <v>25</v>
      </c>
      <c r="R258" s="3" t="str">
        <f aca="false">TEXT(A258,"YYYY-MM")</f>
        <v>2025-08</v>
      </c>
    </row>
    <row r="259" customFormat="false" ht="15" hidden="false" customHeight="false" outlineLevel="0" collapsed="false">
      <c r="A259" s="2" t="n">
        <v>45873</v>
      </c>
      <c r="B259" s="3" t="s">
        <v>664</v>
      </c>
      <c r="C259" s="3" t="s">
        <v>147</v>
      </c>
      <c r="D259" s="4" t="s">
        <v>148</v>
      </c>
      <c r="E259" s="3" t="s">
        <v>396</v>
      </c>
      <c r="F259" s="4" t="s">
        <v>397</v>
      </c>
      <c r="G259" s="3" t="s">
        <v>23</v>
      </c>
      <c r="H259" s="3" t="s">
        <v>44</v>
      </c>
      <c r="I259" s="5" t="n">
        <v>765</v>
      </c>
      <c r="J259" s="6" t="n">
        <v>4370</v>
      </c>
      <c r="K259" s="7" t="n">
        <f aca="false">I259*J259</f>
        <v>3343050</v>
      </c>
      <c r="L259" s="8" t="n">
        <v>0.115</v>
      </c>
      <c r="M259" s="7" t="n">
        <f aca="false">K259*(1-L259)</f>
        <v>2958599.25</v>
      </c>
      <c r="N259" s="8" t="n">
        <v>0.721</v>
      </c>
      <c r="O259" s="7" t="n">
        <f aca="false">M259*N259</f>
        <v>2133150.05925</v>
      </c>
      <c r="P259" s="7" t="n">
        <f aca="false">M259-O259</f>
        <v>825449.19075</v>
      </c>
      <c r="Q259" s="3" t="s">
        <v>25</v>
      </c>
      <c r="R259" s="3" t="str">
        <f aca="false">TEXT(A259,"YYYY-MM")</f>
        <v>2025-08</v>
      </c>
    </row>
    <row r="260" customFormat="false" ht="15" hidden="false" customHeight="false" outlineLevel="0" collapsed="false">
      <c r="A260" s="2" t="n">
        <v>45874</v>
      </c>
      <c r="B260" s="3" t="s">
        <v>665</v>
      </c>
      <c r="C260" s="3" t="s">
        <v>358</v>
      </c>
      <c r="D260" s="4" t="s">
        <v>359</v>
      </c>
      <c r="E260" s="3" t="s">
        <v>458</v>
      </c>
      <c r="F260" s="4" t="s">
        <v>459</v>
      </c>
      <c r="G260" s="3" t="s">
        <v>37</v>
      </c>
      <c r="H260" s="3" t="s">
        <v>44</v>
      </c>
      <c r="I260" s="5" t="n">
        <v>165</v>
      </c>
      <c r="J260" s="6" t="n">
        <v>18190</v>
      </c>
      <c r="K260" s="7" t="n">
        <f aca="false">I260*J260</f>
        <v>3001350</v>
      </c>
      <c r="L260" s="8" t="n">
        <v>0</v>
      </c>
      <c r="M260" s="7" t="n">
        <f aca="false">K260*(1-L260)</f>
        <v>3001350</v>
      </c>
      <c r="N260" s="8" t="n">
        <v>0.695</v>
      </c>
      <c r="O260" s="7" t="n">
        <f aca="false">M260*N260</f>
        <v>2085938.25</v>
      </c>
      <c r="P260" s="7" t="n">
        <f aca="false">M260-O260</f>
        <v>915411.75</v>
      </c>
      <c r="Q260" s="3" t="s">
        <v>155</v>
      </c>
      <c r="R260" s="3" t="str">
        <f aca="false">TEXT(A260,"YYYY-MM")</f>
        <v>2025-08</v>
      </c>
    </row>
    <row r="261" customFormat="false" ht="15" hidden="false" customHeight="false" outlineLevel="0" collapsed="false">
      <c r="A261" s="2" t="n">
        <v>45875</v>
      </c>
      <c r="B261" s="3" t="s">
        <v>666</v>
      </c>
      <c r="C261" s="3" t="s">
        <v>466</v>
      </c>
      <c r="D261" s="4" t="s">
        <v>116</v>
      </c>
      <c r="E261" s="3" t="s">
        <v>107</v>
      </c>
      <c r="F261" s="4" t="s">
        <v>108</v>
      </c>
      <c r="G261" s="3" t="s">
        <v>31</v>
      </c>
      <c r="H261" s="3" t="s">
        <v>44</v>
      </c>
      <c r="I261" s="5" t="n">
        <v>822</v>
      </c>
      <c r="J261" s="6" t="n">
        <v>3270</v>
      </c>
      <c r="K261" s="7" t="n">
        <f aca="false">I261*J261</f>
        <v>2687940</v>
      </c>
      <c r="L261" s="8" t="n">
        <v>0.136</v>
      </c>
      <c r="M261" s="7" t="n">
        <f aca="false">K261*(1-L261)</f>
        <v>2322380.16</v>
      </c>
      <c r="N261" s="8" t="n">
        <v>0.676</v>
      </c>
      <c r="O261" s="7" t="n">
        <f aca="false">M261*N261</f>
        <v>1569928.98816</v>
      </c>
      <c r="P261" s="7" t="n">
        <f aca="false">M261-O261</f>
        <v>752451.17184</v>
      </c>
      <c r="Q261" s="3" t="s">
        <v>25</v>
      </c>
      <c r="R261" s="3" t="str">
        <f aca="false">TEXT(A261,"YYYY-MM")</f>
        <v>2025-08</v>
      </c>
    </row>
    <row r="262" customFormat="false" ht="15" hidden="false" customHeight="false" outlineLevel="0" collapsed="false">
      <c r="A262" s="2" t="n">
        <v>45875</v>
      </c>
      <c r="B262" s="3" t="s">
        <v>667</v>
      </c>
      <c r="C262" s="3" t="s">
        <v>584</v>
      </c>
      <c r="D262" s="4" t="s">
        <v>585</v>
      </c>
      <c r="E262" s="3" t="s">
        <v>149</v>
      </c>
      <c r="F262" s="4" t="s">
        <v>150</v>
      </c>
      <c r="G262" s="3" t="s">
        <v>151</v>
      </c>
      <c r="H262" s="3" t="s">
        <v>44</v>
      </c>
      <c r="I262" s="5" t="n">
        <v>195</v>
      </c>
      <c r="J262" s="6" t="n">
        <v>9310</v>
      </c>
      <c r="K262" s="7" t="n">
        <f aca="false">I262*J262</f>
        <v>1815450</v>
      </c>
      <c r="L262" s="8" t="n">
        <v>0</v>
      </c>
      <c r="M262" s="7" t="n">
        <f aca="false">K262*(1-L262)</f>
        <v>1815450</v>
      </c>
      <c r="N262" s="8" t="n">
        <v>0.608</v>
      </c>
      <c r="O262" s="7" t="n">
        <f aca="false">M262*N262</f>
        <v>1103793.6</v>
      </c>
      <c r="P262" s="7" t="n">
        <f aca="false">M262-O262</f>
        <v>711656.4</v>
      </c>
      <c r="Q262" s="3" t="s">
        <v>25</v>
      </c>
      <c r="R262" s="3" t="str">
        <f aca="false">TEXT(A262,"YYYY-MM")</f>
        <v>2025-08</v>
      </c>
    </row>
    <row r="263" customFormat="false" ht="15" hidden="false" customHeight="false" outlineLevel="0" collapsed="false">
      <c r="A263" s="2" t="n">
        <v>45877</v>
      </c>
      <c r="B263" s="3" t="s">
        <v>668</v>
      </c>
      <c r="C263" s="3" t="s">
        <v>614</v>
      </c>
      <c r="D263" s="4" t="s">
        <v>615</v>
      </c>
      <c r="E263" s="3" t="s">
        <v>352</v>
      </c>
      <c r="F263" s="4" t="s">
        <v>353</v>
      </c>
      <c r="G263" s="3" t="s">
        <v>31</v>
      </c>
      <c r="H263" s="3" t="s">
        <v>24</v>
      </c>
      <c r="I263" s="5" t="n">
        <v>523</v>
      </c>
      <c r="J263" s="6" t="n">
        <v>9460</v>
      </c>
      <c r="K263" s="7" t="n">
        <f aca="false">I263*J263</f>
        <v>4947580</v>
      </c>
      <c r="L263" s="8" t="n">
        <v>0.077</v>
      </c>
      <c r="M263" s="7" t="n">
        <f aca="false">K263*(1-L263)</f>
        <v>4566616.34</v>
      </c>
      <c r="N263" s="8" t="n">
        <v>0.745</v>
      </c>
      <c r="O263" s="7" t="n">
        <f aca="false">M263*N263</f>
        <v>3402129.1733</v>
      </c>
      <c r="P263" s="7" t="n">
        <f aca="false">M263-O263</f>
        <v>1164487.1667</v>
      </c>
      <c r="Q263" s="3" t="s">
        <v>82</v>
      </c>
      <c r="R263" s="3" t="str">
        <f aca="false">TEXT(A263,"YYYY-MM")</f>
        <v>2025-08</v>
      </c>
    </row>
    <row r="264" customFormat="false" ht="15" hidden="false" customHeight="false" outlineLevel="0" collapsed="false">
      <c r="A264" s="2" t="n">
        <v>45878</v>
      </c>
      <c r="B264" s="3" t="s">
        <v>669</v>
      </c>
      <c r="C264" s="3" t="s">
        <v>66</v>
      </c>
      <c r="D264" s="4" t="s">
        <v>67</v>
      </c>
      <c r="E264" s="3" t="s">
        <v>488</v>
      </c>
      <c r="F264" s="4" t="s">
        <v>489</v>
      </c>
      <c r="G264" s="3" t="s">
        <v>37</v>
      </c>
      <c r="H264" s="3" t="s">
        <v>44</v>
      </c>
      <c r="I264" s="5" t="n">
        <v>21</v>
      </c>
      <c r="J264" s="6" t="n">
        <v>7430</v>
      </c>
      <c r="K264" s="7" t="n">
        <f aca="false">I264*J264</f>
        <v>156030</v>
      </c>
      <c r="L264" s="8" t="n">
        <v>0</v>
      </c>
      <c r="M264" s="7" t="n">
        <f aca="false">K264*(1-L264)</f>
        <v>156030</v>
      </c>
      <c r="N264" s="8" t="n">
        <v>0.75</v>
      </c>
      <c r="O264" s="7" t="n">
        <f aca="false">M264*N264</f>
        <v>117022.5</v>
      </c>
      <c r="P264" s="7" t="n">
        <f aca="false">M264-O264</f>
        <v>39007.5</v>
      </c>
      <c r="Q264" s="3" t="s">
        <v>25</v>
      </c>
      <c r="R264" s="3" t="str">
        <f aca="false">TEXT(A264,"YYYY-MM")</f>
        <v>2025-08</v>
      </c>
    </row>
    <row r="265" customFormat="false" ht="15" hidden="false" customHeight="false" outlineLevel="0" collapsed="false">
      <c r="A265" s="2" t="n">
        <v>45878</v>
      </c>
      <c r="B265" s="3" t="s">
        <v>670</v>
      </c>
      <c r="C265" s="3" t="s">
        <v>671</v>
      </c>
      <c r="D265" s="4" t="s">
        <v>672</v>
      </c>
      <c r="E265" s="3" t="s">
        <v>227</v>
      </c>
      <c r="F265" s="4" t="s">
        <v>228</v>
      </c>
      <c r="G265" s="3" t="s">
        <v>31</v>
      </c>
      <c r="H265" s="3" t="s">
        <v>24</v>
      </c>
      <c r="I265" s="5" t="n">
        <v>238</v>
      </c>
      <c r="J265" s="6" t="n">
        <v>5040</v>
      </c>
      <c r="K265" s="7" t="n">
        <f aca="false">I265*J265</f>
        <v>1199520</v>
      </c>
      <c r="L265" s="8" t="n">
        <v>0</v>
      </c>
      <c r="M265" s="7" t="n">
        <f aca="false">K265*(1-L265)</f>
        <v>1199520</v>
      </c>
      <c r="N265" s="8" t="n">
        <v>0.659</v>
      </c>
      <c r="O265" s="7" t="n">
        <f aca="false">M265*N265</f>
        <v>790483.68</v>
      </c>
      <c r="P265" s="7" t="n">
        <f aca="false">M265-O265</f>
        <v>409036.32</v>
      </c>
      <c r="Q265" s="3" t="s">
        <v>82</v>
      </c>
      <c r="R265" s="3" t="str">
        <f aca="false">TEXT(A265,"YYYY-MM")</f>
        <v>2025-08</v>
      </c>
    </row>
    <row r="266" customFormat="false" ht="15" hidden="false" customHeight="false" outlineLevel="0" collapsed="false">
      <c r="A266" s="2" t="n">
        <v>45879</v>
      </c>
      <c r="B266" s="3" t="s">
        <v>673</v>
      </c>
      <c r="C266" s="3" t="s">
        <v>674</v>
      </c>
      <c r="D266" s="4" t="s">
        <v>675</v>
      </c>
      <c r="E266" s="3" t="s">
        <v>657</v>
      </c>
      <c r="F266" s="4" t="s">
        <v>658</v>
      </c>
      <c r="G266" s="3" t="s">
        <v>37</v>
      </c>
      <c r="H266" s="3" t="s">
        <v>24</v>
      </c>
      <c r="I266" s="5" t="n">
        <v>93</v>
      </c>
      <c r="J266" s="6" t="n">
        <v>9680</v>
      </c>
      <c r="K266" s="7" t="n">
        <f aca="false">I266*J266</f>
        <v>900240</v>
      </c>
      <c r="L266" s="8" t="n">
        <v>0.019</v>
      </c>
      <c r="M266" s="7" t="n">
        <f aca="false">K266*(1-L266)</f>
        <v>883135.44</v>
      </c>
      <c r="N266" s="8" t="n">
        <v>0.661</v>
      </c>
      <c r="O266" s="7" t="n">
        <f aca="false">M266*N266</f>
        <v>583752.52584</v>
      </c>
      <c r="P266" s="7" t="n">
        <f aca="false">M266-O266</f>
        <v>299382.91416</v>
      </c>
      <c r="Q266" s="3" t="s">
        <v>25</v>
      </c>
      <c r="R266" s="3" t="str">
        <f aca="false">TEXT(A266,"YYYY-MM")</f>
        <v>2025-08</v>
      </c>
    </row>
    <row r="267" customFormat="false" ht="15" hidden="false" customHeight="false" outlineLevel="0" collapsed="false">
      <c r="A267" s="2" t="n">
        <v>45881</v>
      </c>
      <c r="B267" s="3" t="s">
        <v>676</v>
      </c>
      <c r="C267" s="3" t="s">
        <v>677</v>
      </c>
      <c r="D267" s="4" t="s">
        <v>678</v>
      </c>
      <c r="E267" s="3" t="s">
        <v>348</v>
      </c>
      <c r="F267" s="4" t="s">
        <v>349</v>
      </c>
      <c r="G267" s="3" t="s">
        <v>23</v>
      </c>
      <c r="H267" s="3" t="s">
        <v>24</v>
      </c>
      <c r="I267" s="5" t="n">
        <v>377</v>
      </c>
      <c r="J267" s="6" t="n">
        <v>8920</v>
      </c>
      <c r="K267" s="7" t="n">
        <f aca="false">I267*J267</f>
        <v>3362840</v>
      </c>
      <c r="L267" s="8" t="n">
        <v>0.053</v>
      </c>
      <c r="M267" s="7" t="n">
        <f aca="false">K267*(1-L267)</f>
        <v>3184609.48</v>
      </c>
      <c r="N267" s="8" t="n">
        <v>0.676</v>
      </c>
      <c r="O267" s="7" t="n">
        <f aca="false">M267*N267</f>
        <v>2152796.00848</v>
      </c>
      <c r="P267" s="7" t="n">
        <f aca="false">M267-O267</f>
        <v>1031813.47152</v>
      </c>
      <c r="Q267" s="3" t="s">
        <v>82</v>
      </c>
      <c r="R267" s="3" t="str">
        <f aca="false">TEXT(A267,"YYYY-MM")</f>
        <v>2025-08</v>
      </c>
    </row>
    <row r="268" customFormat="false" ht="15" hidden="false" customHeight="false" outlineLevel="0" collapsed="false">
      <c r="A268" s="2" t="n">
        <v>45881</v>
      </c>
      <c r="B268" s="3" t="s">
        <v>679</v>
      </c>
      <c r="C268" s="3" t="s">
        <v>249</v>
      </c>
      <c r="D268" s="4" t="s">
        <v>250</v>
      </c>
      <c r="E268" s="3" t="s">
        <v>281</v>
      </c>
      <c r="F268" s="4" t="s">
        <v>282</v>
      </c>
      <c r="G268" s="3" t="s">
        <v>23</v>
      </c>
      <c r="H268" s="3" t="s">
        <v>44</v>
      </c>
      <c r="I268" s="5" t="n">
        <v>438</v>
      </c>
      <c r="J268" s="6" t="n">
        <v>4850</v>
      </c>
      <c r="K268" s="7" t="n">
        <f aca="false">I268*J268</f>
        <v>2124300</v>
      </c>
      <c r="L268" s="8" t="n">
        <v>0.079</v>
      </c>
      <c r="M268" s="7" t="n">
        <f aca="false">K268*(1-L268)</f>
        <v>1956480.3</v>
      </c>
      <c r="N268" s="8" t="n">
        <v>0.619</v>
      </c>
      <c r="O268" s="7" t="n">
        <f aca="false">M268*N268</f>
        <v>1211061.3057</v>
      </c>
      <c r="P268" s="7" t="n">
        <f aca="false">M268-O268</f>
        <v>745418.9943</v>
      </c>
      <c r="Q268" s="3" t="s">
        <v>25</v>
      </c>
      <c r="R268" s="3" t="str">
        <f aca="false">TEXT(A268,"YYYY-MM")</f>
        <v>2025-08</v>
      </c>
    </row>
    <row r="269" customFormat="false" ht="15" hidden="false" customHeight="false" outlineLevel="0" collapsed="false">
      <c r="A269" s="2" t="n">
        <v>45882</v>
      </c>
      <c r="B269" s="3" t="s">
        <v>680</v>
      </c>
      <c r="C269" s="3" t="s">
        <v>142</v>
      </c>
      <c r="D269" s="4" t="s">
        <v>111</v>
      </c>
      <c r="E269" s="3" t="s">
        <v>681</v>
      </c>
      <c r="F269" s="4" t="s">
        <v>682</v>
      </c>
      <c r="G269" s="3" t="s">
        <v>31</v>
      </c>
      <c r="H269" s="3" t="s">
        <v>44</v>
      </c>
      <c r="I269" s="5" t="n">
        <v>950</v>
      </c>
      <c r="J269" s="6" t="n">
        <v>4280</v>
      </c>
      <c r="K269" s="7" t="n">
        <f aca="false">I269*J269</f>
        <v>4066000</v>
      </c>
      <c r="L269" s="8" t="n">
        <v>0.118</v>
      </c>
      <c r="M269" s="7" t="n">
        <f aca="false">K269*(1-L269)</f>
        <v>3586212</v>
      </c>
      <c r="N269" s="8" t="n">
        <v>0.641</v>
      </c>
      <c r="O269" s="7" t="n">
        <f aca="false">M269*N269</f>
        <v>2298761.892</v>
      </c>
      <c r="P269" s="7" t="n">
        <f aca="false">M269-O269</f>
        <v>1287450.108</v>
      </c>
      <c r="Q269" s="3" t="s">
        <v>25</v>
      </c>
      <c r="R269" s="3" t="str">
        <f aca="false">TEXT(A269,"YYYY-MM")</f>
        <v>2025-08</v>
      </c>
    </row>
    <row r="270" customFormat="false" ht="15" hidden="false" customHeight="false" outlineLevel="0" collapsed="false">
      <c r="A270" s="2" t="n">
        <v>45883</v>
      </c>
      <c r="B270" s="3" t="s">
        <v>683</v>
      </c>
      <c r="C270" s="3" t="s">
        <v>161</v>
      </c>
      <c r="D270" s="4" t="s">
        <v>162</v>
      </c>
      <c r="E270" s="3" t="s">
        <v>175</v>
      </c>
      <c r="F270" s="4" t="s">
        <v>176</v>
      </c>
      <c r="G270" s="3" t="s">
        <v>23</v>
      </c>
      <c r="H270" s="3" t="s">
        <v>24</v>
      </c>
      <c r="I270" s="5" t="n">
        <v>753</v>
      </c>
      <c r="J270" s="6" t="n">
        <v>2510</v>
      </c>
      <c r="K270" s="7" t="n">
        <f aca="false">I270*J270</f>
        <v>1890030</v>
      </c>
      <c r="L270" s="8" t="n">
        <v>0.146</v>
      </c>
      <c r="M270" s="7" t="n">
        <f aca="false">K270*(1-L270)</f>
        <v>1614085.62</v>
      </c>
      <c r="N270" s="8" t="n">
        <v>0.714</v>
      </c>
      <c r="O270" s="7" t="n">
        <f aca="false">M270*N270</f>
        <v>1152457.13268</v>
      </c>
      <c r="P270" s="7" t="n">
        <f aca="false">M270-O270</f>
        <v>461628.48732</v>
      </c>
      <c r="Q270" s="3" t="s">
        <v>25</v>
      </c>
      <c r="R270" s="3" t="str">
        <f aca="false">TEXT(A270,"YYYY-MM")</f>
        <v>2025-08</v>
      </c>
    </row>
    <row r="271" customFormat="false" ht="15" hidden="false" customHeight="false" outlineLevel="0" collapsed="false">
      <c r="A271" s="2" t="n">
        <v>45884</v>
      </c>
      <c r="B271" s="3" t="s">
        <v>684</v>
      </c>
      <c r="C271" s="3" t="s">
        <v>443</v>
      </c>
      <c r="D271" s="4" t="s">
        <v>444</v>
      </c>
      <c r="E271" s="3" t="s">
        <v>488</v>
      </c>
      <c r="F271" s="4" t="s">
        <v>489</v>
      </c>
      <c r="G271" s="3" t="s">
        <v>37</v>
      </c>
      <c r="H271" s="3" t="s">
        <v>24</v>
      </c>
      <c r="I271" s="5" t="n">
        <v>354</v>
      </c>
      <c r="J271" s="6" t="n">
        <v>7430</v>
      </c>
      <c r="K271" s="7" t="n">
        <f aca="false">I271*J271</f>
        <v>2630220</v>
      </c>
      <c r="L271" s="8" t="n">
        <v>0.054</v>
      </c>
      <c r="M271" s="7" t="n">
        <f aca="false">K271*(1-L271)</f>
        <v>2488188.12</v>
      </c>
      <c r="N271" s="8" t="n">
        <v>0.696</v>
      </c>
      <c r="O271" s="7" t="n">
        <f aca="false">M271*N271</f>
        <v>1731778.93152</v>
      </c>
      <c r="P271" s="7" t="n">
        <f aca="false">M271-O271</f>
        <v>756409.18848</v>
      </c>
      <c r="Q271" s="3" t="s">
        <v>25</v>
      </c>
      <c r="R271" s="3" t="str">
        <f aca="false">TEXT(A271,"YYYY-MM")</f>
        <v>2025-08</v>
      </c>
    </row>
    <row r="272" customFormat="false" ht="15" hidden="false" customHeight="false" outlineLevel="0" collapsed="false">
      <c r="A272" s="2" t="n">
        <v>45884</v>
      </c>
      <c r="B272" s="3" t="s">
        <v>685</v>
      </c>
      <c r="C272" s="3" t="s">
        <v>361</v>
      </c>
      <c r="D272" s="4" t="s">
        <v>362</v>
      </c>
      <c r="E272" s="3" t="s">
        <v>21</v>
      </c>
      <c r="F272" s="4" t="s">
        <v>22</v>
      </c>
      <c r="G272" s="3" t="s">
        <v>23</v>
      </c>
      <c r="H272" s="3" t="s">
        <v>44</v>
      </c>
      <c r="I272" s="5" t="n">
        <v>155</v>
      </c>
      <c r="J272" s="6" t="n">
        <v>14670</v>
      </c>
      <c r="K272" s="7" t="n">
        <f aca="false">I272*J272</f>
        <v>2273850</v>
      </c>
      <c r="L272" s="8" t="n">
        <v>0.007</v>
      </c>
      <c r="M272" s="7" t="n">
        <f aca="false">K272*(1-L272)</f>
        <v>2257933.05</v>
      </c>
      <c r="N272" s="8" t="n">
        <v>0.631</v>
      </c>
      <c r="O272" s="7" t="n">
        <f aca="false">M272*N272</f>
        <v>1424755.75455</v>
      </c>
      <c r="P272" s="7" t="n">
        <f aca="false">M272-O272</f>
        <v>833177.29545</v>
      </c>
      <c r="Q272" s="3" t="s">
        <v>25</v>
      </c>
      <c r="R272" s="3" t="str">
        <f aca="false">TEXT(A272,"YYYY-MM")</f>
        <v>2025-08</v>
      </c>
    </row>
    <row r="273" customFormat="false" ht="15" hidden="false" customHeight="false" outlineLevel="0" collapsed="false">
      <c r="A273" s="2" t="n">
        <v>45885</v>
      </c>
      <c r="B273" s="3" t="s">
        <v>686</v>
      </c>
      <c r="C273" s="3" t="s">
        <v>408</v>
      </c>
      <c r="D273" s="4" t="s">
        <v>409</v>
      </c>
      <c r="E273" s="3" t="s">
        <v>80</v>
      </c>
      <c r="F273" s="4" t="s">
        <v>81</v>
      </c>
      <c r="G273" s="3" t="s">
        <v>23</v>
      </c>
      <c r="H273" s="3" t="s">
        <v>44</v>
      </c>
      <c r="I273" s="5" t="n">
        <v>616</v>
      </c>
      <c r="J273" s="6" t="n">
        <v>2400</v>
      </c>
      <c r="K273" s="7" t="n">
        <f aca="false">I273*J273</f>
        <v>1478400</v>
      </c>
      <c r="L273" s="8" t="n">
        <v>0.15</v>
      </c>
      <c r="M273" s="7" t="n">
        <f aca="false">K273*(1-L273)</f>
        <v>1256640</v>
      </c>
      <c r="N273" s="8" t="n">
        <v>0.612</v>
      </c>
      <c r="O273" s="7" t="n">
        <f aca="false">M273*N273</f>
        <v>769063.68</v>
      </c>
      <c r="P273" s="7" t="n">
        <f aca="false">M273-O273</f>
        <v>487576.32</v>
      </c>
      <c r="Q273" s="3" t="s">
        <v>25</v>
      </c>
      <c r="R273" s="3" t="str">
        <f aca="false">TEXT(A273,"YYYY-MM")</f>
        <v>2025-08</v>
      </c>
    </row>
    <row r="274" customFormat="false" ht="15" hidden="false" customHeight="false" outlineLevel="0" collapsed="false">
      <c r="A274" s="2" t="n">
        <v>45887</v>
      </c>
      <c r="B274" s="3" t="s">
        <v>687</v>
      </c>
      <c r="C274" s="3" t="s">
        <v>688</v>
      </c>
      <c r="D274" s="4" t="s">
        <v>689</v>
      </c>
      <c r="E274" s="3" t="s">
        <v>485</v>
      </c>
      <c r="F274" s="4" t="s">
        <v>486</v>
      </c>
      <c r="G274" s="3" t="s">
        <v>31</v>
      </c>
      <c r="H274" s="3" t="s">
        <v>44</v>
      </c>
      <c r="I274" s="5" t="n">
        <v>83</v>
      </c>
      <c r="J274" s="6" t="n">
        <v>1700</v>
      </c>
      <c r="K274" s="7" t="n">
        <f aca="false">I274*J274</f>
        <v>141100</v>
      </c>
      <c r="L274" s="8" t="n">
        <v>0</v>
      </c>
      <c r="M274" s="7" t="n">
        <f aca="false">K274*(1-L274)</f>
        <v>141100</v>
      </c>
      <c r="N274" s="8" t="n">
        <v>0.68</v>
      </c>
      <c r="O274" s="7" t="n">
        <f aca="false">M274*N274</f>
        <v>95948</v>
      </c>
      <c r="P274" s="7" t="n">
        <f aca="false">M274-O274</f>
        <v>45152</v>
      </c>
      <c r="Q274" s="3" t="s">
        <v>25</v>
      </c>
      <c r="R274" s="3" t="str">
        <f aca="false">TEXT(A274,"YYYY-MM")</f>
        <v>2025-08</v>
      </c>
    </row>
    <row r="275" customFormat="false" ht="15" hidden="false" customHeight="false" outlineLevel="0" collapsed="false">
      <c r="A275" s="2" t="n">
        <v>45887</v>
      </c>
      <c r="B275" s="3" t="s">
        <v>690</v>
      </c>
      <c r="C275" s="3" t="s">
        <v>298</v>
      </c>
      <c r="D275" s="4" t="s">
        <v>299</v>
      </c>
      <c r="E275" s="3" t="s">
        <v>246</v>
      </c>
      <c r="F275" s="4" t="s">
        <v>247</v>
      </c>
      <c r="G275" s="3" t="s">
        <v>31</v>
      </c>
      <c r="H275" s="3" t="s">
        <v>38</v>
      </c>
      <c r="I275" s="5" t="n">
        <v>535</v>
      </c>
      <c r="J275" s="6" t="n">
        <v>3180</v>
      </c>
      <c r="K275" s="7" t="n">
        <f aca="false">I275*J275</f>
        <v>1701300</v>
      </c>
      <c r="L275" s="8" t="n">
        <v>0.045</v>
      </c>
      <c r="M275" s="7" t="n">
        <f aca="false">K275*(1-L275)</f>
        <v>1624741.5</v>
      </c>
      <c r="N275" s="8" t="n">
        <v>0.602</v>
      </c>
      <c r="O275" s="7" t="n">
        <f aca="false">M275*N275</f>
        <v>978094.383</v>
      </c>
      <c r="P275" s="7" t="n">
        <f aca="false">M275-O275</f>
        <v>646647.117</v>
      </c>
      <c r="Q275" s="3" t="s">
        <v>25</v>
      </c>
      <c r="R275" s="3" t="str">
        <f aca="false">TEXT(A275,"YYYY-MM")</f>
        <v>2025-08</v>
      </c>
    </row>
    <row r="276" customFormat="false" ht="15" hidden="false" customHeight="false" outlineLevel="0" collapsed="false">
      <c r="A276" s="2" t="n">
        <v>45887</v>
      </c>
      <c r="B276" s="3" t="s">
        <v>691</v>
      </c>
      <c r="C276" s="3" t="s">
        <v>272</v>
      </c>
      <c r="D276" s="4" t="s">
        <v>273</v>
      </c>
      <c r="E276" s="3" t="s">
        <v>295</v>
      </c>
      <c r="F276" s="4" t="s">
        <v>296</v>
      </c>
      <c r="G276" s="3" t="s">
        <v>23</v>
      </c>
      <c r="H276" s="3" t="s">
        <v>38</v>
      </c>
      <c r="I276" s="5" t="n">
        <v>48</v>
      </c>
      <c r="J276" s="6" t="n">
        <v>7380</v>
      </c>
      <c r="K276" s="7" t="n">
        <f aca="false">I276*J276</f>
        <v>354240</v>
      </c>
      <c r="L276" s="8" t="n">
        <v>0</v>
      </c>
      <c r="M276" s="7" t="n">
        <f aca="false">K276*(1-L276)</f>
        <v>354240</v>
      </c>
      <c r="N276" s="8" t="n">
        <v>0.653</v>
      </c>
      <c r="O276" s="7" t="n">
        <f aca="false">M276*N276</f>
        <v>231318.72</v>
      </c>
      <c r="P276" s="7" t="n">
        <f aca="false">M276-O276</f>
        <v>122921.28</v>
      </c>
      <c r="Q276" s="3" t="s">
        <v>82</v>
      </c>
      <c r="R276" s="3" t="str">
        <f aca="false">TEXT(A276,"YYYY-MM")</f>
        <v>2025-08</v>
      </c>
    </row>
    <row r="277" customFormat="false" ht="15" hidden="false" customHeight="false" outlineLevel="0" collapsed="false">
      <c r="A277" s="2" t="n">
        <v>45888</v>
      </c>
      <c r="B277" s="3" t="s">
        <v>692</v>
      </c>
      <c r="C277" s="3" t="s">
        <v>244</v>
      </c>
      <c r="D277" s="4" t="s">
        <v>245</v>
      </c>
      <c r="E277" s="3" t="s">
        <v>86</v>
      </c>
      <c r="F277" s="4" t="s">
        <v>87</v>
      </c>
      <c r="G277" s="3" t="s">
        <v>23</v>
      </c>
      <c r="H277" s="3" t="s">
        <v>44</v>
      </c>
      <c r="I277" s="5" t="n">
        <v>645</v>
      </c>
      <c r="J277" s="6" t="n">
        <v>11620</v>
      </c>
      <c r="K277" s="7" t="n">
        <f aca="false">I277*J277</f>
        <v>7494900</v>
      </c>
      <c r="L277" s="8" t="n">
        <v>0.136</v>
      </c>
      <c r="M277" s="7" t="n">
        <f aca="false">K277*(1-L277)</f>
        <v>6475593.6</v>
      </c>
      <c r="N277" s="8" t="n">
        <v>0.636</v>
      </c>
      <c r="O277" s="7" t="n">
        <f aca="false">M277*N277</f>
        <v>4118477.5296</v>
      </c>
      <c r="P277" s="7" t="n">
        <f aca="false">M277-O277</f>
        <v>2357116.0704</v>
      </c>
      <c r="Q277" s="3" t="s">
        <v>25</v>
      </c>
      <c r="R277" s="3" t="str">
        <f aca="false">TEXT(A277,"YYYY-MM")</f>
        <v>2025-08</v>
      </c>
    </row>
    <row r="278" customFormat="false" ht="15" hidden="false" customHeight="false" outlineLevel="0" collapsed="false">
      <c r="A278" s="2" t="n">
        <v>45888</v>
      </c>
      <c r="B278" s="3" t="s">
        <v>693</v>
      </c>
      <c r="C278" s="3" t="s">
        <v>100</v>
      </c>
      <c r="D278" s="4" t="s">
        <v>101</v>
      </c>
      <c r="E278" s="3" t="s">
        <v>587</v>
      </c>
      <c r="F278" s="4" t="s">
        <v>588</v>
      </c>
      <c r="G278" s="3" t="s">
        <v>31</v>
      </c>
      <c r="H278" s="3" t="s">
        <v>44</v>
      </c>
      <c r="I278" s="5" t="n">
        <v>289</v>
      </c>
      <c r="J278" s="6" t="n">
        <v>6060</v>
      </c>
      <c r="K278" s="7" t="n">
        <f aca="false">I278*J278</f>
        <v>1751340</v>
      </c>
      <c r="L278" s="8" t="n">
        <v>0</v>
      </c>
      <c r="M278" s="7" t="n">
        <f aca="false">K278*(1-L278)</f>
        <v>1751340</v>
      </c>
      <c r="N278" s="8" t="n">
        <v>0.677</v>
      </c>
      <c r="O278" s="7" t="n">
        <f aca="false">M278*N278</f>
        <v>1185657.18</v>
      </c>
      <c r="P278" s="7" t="n">
        <f aca="false">M278-O278</f>
        <v>565682.82</v>
      </c>
      <c r="Q278" s="3" t="s">
        <v>25</v>
      </c>
      <c r="R278" s="3" t="str">
        <f aca="false">TEXT(A278,"YYYY-MM")</f>
        <v>2025-08</v>
      </c>
    </row>
    <row r="279" customFormat="false" ht="15" hidden="false" customHeight="false" outlineLevel="0" collapsed="false">
      <c r="A279" s="2" t="n">
        <v>45888</v>
      </c>
      <c r="B279" s="3" t="s">
        <v>694</v>
      </c>
      <c r="C279" s="3" t="s">
        <v>100</v>
      </c>
      <c r="D279" s="4" t="s">
        <v>101</v>
      </c>
      <c r="E279" s="3" t="s">
        <v>274</v>
      </c>
      <c r="F279" s="4" t="s">
        <v>275</v>
      </c>
      <c r="G279" s="3" t="s">
        <v>31</v>
      </c>
      <c r="H279" s="3" t="s">
        <v>44</v>
      </c>
      <c r="I279" s="5" t="n">
        <v>61</v>
      </c>
      <c r="J279" s="6" t="n">
        <v>9280</v>
      </c>
      <c r="K279" s="7" t="n">
        <f aca="false">I279*J279</f>
        <v>566080</v>
      </c>
      <c r="L279" s="8" t="n">
        <v>0.041</v>
      </c>
      <c r="M279" s="7" t="n">
        <f aca="false">K279*(1-L279)</f>
        <v>542870.72</v>
      </c>
      <c r="N279" s="8" t="n">
        <v>0.726</v>
      </c>
      <c r="O279" s="7" t="n">
        <f aca="false">M279*N279</f>
        <v>394124.14272</v>
      </c>
      <c r="P279" s="7" t="n">
        <f aca="false">M279-O279</f>
        <v>148746.57728</v>
      </c>
      <c r="Q279" s="3" t="s">
        <v>25</v>
      </c>
      <c r="R279" s="3" t="str">
        <f aca="false">TEXT(A279,"YYYY-MM")</f>
        <v>2025-08</v>
      </c>
    </row>
    <row r="280" customFormat="false" ht="15" hidden="false" customHeight="false" outlineLevel="0" collapsed="false">
      <c r="A280" s="2" t="n">
        <v>45890</v>
      </c>
      <c r="B280" s="3" t="s">
        <v>695</v>
      </c>
      <c r="C280" s="3" t="s">
        <v>284</v>
      </c>
      <c r="D280" s="4" t="s">
        <v>285</v>
      </c>
      <c r="E280" s="3" t="s">
        <v>80</v>
      </c>
      <c r="F280" s="4" t="s">
        <v>81</v>
      </c>
      <c r="G280" s="3" t="s">
        <v>23</v>
      </c>
      <c r="H280" s="3" t="s">
        <v>44</v>
      </c>
      <c r="I280" s="5" t="n">
        <v>457</v>
      </c>
      <c r="J280" s="6" t="n">
        <v>2400</v>
      </c>
      <c r="K280" s="7" t="n">
        <f aca="false">I280*J280</f>
        <v>1096800</v>
      </c>
      <c r="L280" s="8" t="n">
        <v>0.049</v>
      </c>
      <c r="M280" s="7" t="n">
        <f aca="false">K280*(1-L280)</f>
        <v>1043056.8</v>
      </c>
      <c r="N280" s="8" t="n">
        <v>0.738</v>
      </c>
      <c r="O280" s="7" t="n">
        <f aca="false">M280*N280</f>
        <v>769775.9184</v>
      </c>
      <c r="P280" s="7" t="n">
        <f aca="false">M280-O280</f>
        <v>273280.8816</v>
      </c>
      <c r="Q280" s="3" t="s">
        <v>82</v>
      </c>
      <c r="R280" s="3" t="str">
        <f aca="false">TEXT(A280,"YYYY-MM")</f>
        <v>2025-08</v>
      </c>
    </row>
    <row r="281" customFormat="false" ht="15" hidden="false" customHeight="false" outlineLevel="0" collapsed="false">
      <c r="A281" s="2" t="n">
        <v>45890</v>
      </c>
      <c r="B281" s="3" t="s">
        <v>696</v>
      </c>
      <c r="C281" s="3" t="s">
        <v>402</v>
      </c>
      <c r="D281" s="4" t="s">
        <v>403</v>
      </c>
      <c r="E281" s="3" t="s">
        <v>246</v>
      </c>
      <c r="F281" s="4" t="s">
        <v>247</v>
      </c>
      <c r="G281" s="3" t="s">
        <v>31</v>
      </c>
      <c r="H281" s="3" t="s">
        <v>24</v>
      </c>
      <c r="I281" s="5" t="n">
        <v>678</v>
      </c>
      <c r="J281" s="6" t="n">
        <v>3180</v>
      </c>
      <c r="K281" s="7" t="n">
        <f aca="false">I281*J281</f>
        <v>2156040</v>
      </c>
      <c r="L281" s="8" t="n">
        <v>0.114</v>
      </c>
      <c r="M281" s="7" t="n">
        <f aca="false">K281*(1-L281)</f>
        <v>1910251.44</v>
      </c>
      <c r="N281" s="8" t="n">
        <v>0.631</v>
      </c>
      <c r="O281" s="7" t="n">
        <f aca="false">M281*N281</f>
        <v>1205368.65864</v>
      </c>
      <c r="P281" s="7" t="n">
        <f aca="false">M281-O281</f>
        <v>704882.78136</v>
      </c>
      <c r="Q281" s="3" t="s">
        <v>25</v>
      </c>
      <c r="R281" s="3" t="str">
        <f aca="false">TEXT(A281,"YYYY-MM")</f>
        <v>2025-08</v>
      </c>
    </row>
    <row r="282" customFormat="false" ht="15" hidden="false" customHeight="false" outlineLevel="0" collapsed="false">
      <c r="A282" s="2" t="n">
        <v>45891</v>
      </c>
      <c r="B282" s="3" t="s">
        <v>697</v>
      </c>
      <c r="C282" s="3" t="s">
        <v>61</v>
      </c>
      <c r="D282" s="4" t="s">
        <v>62</v>
      </c>
      <c r="E282" s="3" t="s">
        <v>411</v>
      </c>
      <c r="F282" s="4" t="s">
        <v>412</v>
      </c>
      <c r="G282" s="3" t="s">
        <v>23</v>
      </c>
      <c r="H282" s="3" t="s">
        <v>44</v>
      </c>
      <c r="I282" s="5" t="n">
        <v>253</v>
      </c>
      <c r="J282" s="6" t="n">
        <v>11490</v>
      </c>
      <c r="K282" s="7" t="n">
        <f aca="false">I282*J282</f>
        <v>2906970</v>
      </c>
      <c r="L282" s="8" t="n">
        <v>0.049</v>
      </c>
      <c r="M282" s="7" t="n">
        <f aca="false">K282*(1-L282)</f>
        <v>2764528.47</v>
      </c>
      <c r="N282" s="8" t="n">
        <v>0.71</v>
      </c>
      <c r="O282" s="7" t="n">
        <f aca="false">M282*N282</f>
        <v>1962815.2137</v>
      </c>
      <c r="P282" s="7" t="n">
        <f aca="false">M282-O282</f>
        <v>801713.2563</v>
      </c>
      <c r="Q282" s="3" t="s">
        <v>25</v>
      </c>
      <c r="R282" s="3" t="str">
        <f aca="false">TEXT(A282,"YYYY-MM")</f>
        <v>2025-08</v>
      </c>
    </row>
    <row r="283" customFormat="false" ht="15" hidden="false" customHeight="false" outlineLevel="0" collapsed="false">
      <c r="A283" s="2" t="n">
        <v>45892</v>
      </c>
      <c r="B283" s="3" t="s">
        <v>698</v>
      </c>
      <c r="C283" s="3" t="s">
        <v>293</v>
      </c>
      <c r="D283" s="4" t="s">
        <v>294</v>
      </c>
      <c r="E283" s="3" t="s">
        <v>482</v>
      </c>
      <c r="F283" s="4" t="s">
        <v>483</v>
      </c>
      <c r="G283" s="3" t="s">
        <v>37</v>
      </c>
      <c r="H283" s="3" t="s">
        <v>44</v>
      </c>
      <c r="I283" s="5" t="n">
        <v>286</v>
      </c>
      <c r="J283" s="6" t="n">
        <v>10570</v>
      </c>
      <c r="K283" s="7" t="n">
        <f aca="false">I283*J283</f>
        <v>3023020</v>
      </c>
      <c r="L283" s="8" t="n">
        <v>0</v>
      </c>
      <c r="M283" s="7" t="n">
        <f aca="false">K283*(1-L283)</f>
        <v>3023020</v>
      </c>
      <c r="N283" s="8" t="n">
        <v>0.691</v>
      </c>
      <c r="O283" s="7" t="n">
        <f aca="false">M283*N283</f>
        <v>2088906.82</v>
      </c>
      <c r="P283" s="7" t="n">
        <f aca="false">M283-O283</f>
        <v>934113.18</v>
      </c>
      <c r="Q283" s="3" t="s">
        <v>25</v>
      </c>
      <c r="R283" s="3" t="str">
        <f aca="false">TEXT(A283,"YYYY-MM")</f>
        <v>2025-08</v>
      </c>
    </row>
    <row r="284" customFormat="false" ht="15" hidden="false" customHeight="false" outlineLevel="0" collapsed="false">
      <c r="A284" s="2" t="n">
        <v>45892</v>
      </c>
      <c r="B284" s="3" t="s">
        <v>699</v>
      </c>
      <c r="C284" s="3" t="s">
        <v>503</v>
      </c>
      <c r="D284" s="4" t="s">
        <v>504</v>
      </c>
      <c r="E284" s="3" t="s">
        <v>172</v>
      </c>
      <c r="F284" s="4" t="s">
        <v>173</v>
      </c>
      <c r="G284" s="3" t="s">
        <v>31</v>
      </c>
      <c r="H284" s="3" t="s">
        <v>24</v>
      </c>
      <c r="I284" s="5" t="n">
        <v>92</v>
      </c>
      <c r="J284" s="6" t="n">
        <v>5730</v>
      </c>
      <c r="K284" s="7" t="n">
        <f aca="false">I284*J284</f>
        <v>527160</v>
      </c>
      <c r="L284" s="8" t="n">
        <v>0.023</v>
      </c>
      <c r="M284" s="7" t="n">
        <f aca="false">K284*(1-L284)</f>
        <v>515035.32</v>
      </c>
      <c r="N284" s="8" t="n">
        <v>0.657</v>
      </c>
      <c r="O284" s="7" t="n">
        <f aca="false">M284*N284</f>
        <v>338378.20524</v>
      </c>
      <c r="P284" s="7" t="n">
        <f aca="false">M284-O284</f>
        <v>176657.11476</v>
      </c>
      <c r="Q284" s="3" t="s">
        <v>25</v>
      </c>
      <c r="R284" s="3" t="str">
        <f aca="false">TEXT(A284,"YYYY-MM")</f>
        <v>2025-08</v>
      </c>
    </row>
    <row r="285" customFormat="false" ht="15" hidden="false" customHeight="false" outlineLevel="0" collapsed="false">
      <c r="A285" s="2" t="n">
        <v>45893</v>
      </c>
      <c r="B285" s="3" t="s">
        <v>700</v>
      </c>
      <c r="C285" s="3" t="s">
        <v>157</v>
      </c>
      <c r="D285" s="4" t="s">
        <v>52</v>
      </c>
      <c r="E285" s="3" t="s">
        <v>307</v>
      </c>
      <c r="F285" s="4" t="s">
        <v>308</v>
      </c>
      <c r="G285" s="3" t="s">
        <v>201</v>
      </c>
      <c r="H285" s="3" t="s">
        <v>44</v>
      </c>
      <c r="I285" s="5" t="n">
        <v>91</v>
      </c>
      <c r="J285" s="6" t="n">
        <v>17840</v>
      </c>
      <c r="K285" s="7" t="n">
        <f aca="false">I285*J285</f>
        <v>1623440</v>
      </c>
      <c r="L285" s="8" t="n">
        <v>0</v>
      </c>
      <c r="M285" s="7" t="n">
        <f aca="false">K285*(1-L285)</f>
        <v>1623440</v>
      </c>
      <c r="N285" s="8" t="n">
        <v>0.719</v>
      </c>
      <c r="O285" s="7" t="n">
        <f aca="false">M285*N285</f>
        <v>1167253.36</v>
      </c>
      <c r="P285" s="7" t="n">
        <f aca="false">M285-O285</f>
        <v>456186.64</v>
      </c>
      <c r="Q285" s="3" t="s">
        <v>25</v>
      </c>
      <c r="R285" s="3" t="str">
        <f aca="false">TEXT(A285,"YYYY-MM")</f>
        <v>2025-08</v>
      </c>
    </row>
    <row r="286" customFormat="false" ht="15" hidden="false" customHeight="false" outlineLevel="0" collapsed="false">
      <c r="A286" s="2" t="n">
        <v>45894</v>
      </c>
      <c r="B286" s="3" t="s">
        <v>701</v>
      </c>
      <c r="C286" s="3" t="s">
        <v>631</v>
      </c>
      <c r="D286" s="4" t="s">
        <v>632</v>
      </c>
      <c r="E286" s="3" t="s">
        <v>274</v>
      </c>
      <c r="F286" s="4" t="s">
        <v>275</v>
      </c>
      <c r="G286" s="3" t="s">
        <v>31</v>
      </c>
      <c r="H286" s="3" t="s">
        <v>24</v>
      </c>
      <c r="I286" s="5" t="n">
        <v>884</v>
      </c>
      <c r="J286" s="6" t="n">
        <v>9280</v>
      </c>
      <c r="K286" s="7" t="n">
        <f aca="false">I286*J286</f>
        <v>8203520</v>
      </c>
      <c r="L286" s="8" t="n">
        <v>0.125</v>
      </c>
      <c r="M286" s="7" t="n">
        <f aca="false">K286*(1-L286)</f>
        <v>7178080</v>
      </c>
      <c r="N286" s="8" t="n">
        <v>0.689</v>
      </c>
      <c r="O286" s="7" t="n">
        <f aca="false">M286*N286</f>
        <v>4945697.12</v>
      </c>
      <c r="P286" s="7" t="n">
        <f aca="false">M286-O286</f>
        <v>2232382.88</v>
      </c>
      <c r="Q286" s="3" t="s">
        <v>82</v>
      </c>
      <c r="R286" s="3" t="str">
        <f aca="false">TEXT(A286,"YYYY-MM")</f>
        <v>2025-08</v>
      </c>
    </row>
    <row r="287" customFormat="false" ht="15" hidden="false" customHeight="false" outlineLevel="0" collapsed="false">
      <c r="A287" s="2" t="n">
        <v>45895</v>
      </c>
      <c r="B287" s="3" t="s">
        <v>702</v>
      </c>
      <c r="C287" s="3" t="s">
        <v>181</v>
      </c>
      <c r="D287" s="4" t="s">
        <v>182</v>
      </c>
      <c r="E287" s="3" t="s">
        <v>703</v>
      </c>
      <c r="F287" s="4" t="s">
        <v>704</v>
      </c>
      <c r="G287" s="3" t="s">
        <v>37</v>
      </c>
      <c r="H287" s="3" t="s">
        <v>44</v>
      </c>
      <c r="I287" s="5" t="n">
        <v>245</v>
      </c>
      <c r="J287" s="6" t="n">
        <v>17330</v>
      </c>
      <c r="K287" s="7" t="n">
        <f aca="false">I287*J287</f>
        <v>4245850</v>
      </c>
      <c r="L287" s="8" t="n">
        <v>0</v>
      </c>
      <c r="M287" s="7" t="n">
        <f aca="false">K287*(1-L287)</f>
        <v>4245850</v>
      </c>
      <c r="N287" s="8" t="n">
        <v>0.643</v>
      </c>
      <c r="O287" s="7" t="n">
        <f aca="false">M287*N287</f>
        <v>2730081.55</v>
      </c>
      <c r="P287" s="7" t="n">
        <f aca="false">M287-O287</f>
        <v>1515768.45</v>
      </c>
      <c r="Q287" s="3" t="s">
        <v>25</v>
      </c>
      <c r="R287" s="3" t="str">
        <f aca="false">TEXT(A287,"YYYY-MM")</f>
        <v>2025-08</v>
      </c>
    </row>
    <row r="288" customFormat="false" ht="15" hidden="false" customHeight="false" outlineLevel="0" collapsed="false">
      <c r="A288" s="2" t="n">
        <v>45896</v>
      </c>
      <c r="B288" s="3" t="s">
        <v>705</v>
      </c>
      <c r="C288" s="3" t="s">
        <v>92</v>
      </c>
      <c r="D288" s="4" t="s">
        <v>93</v>
      </c>
      <c r="E288" s="3" t="s">
        <v>107</v>
      </c>
      <c r="F288" s="4" t="s">
        <v>108</v>
      </c>
      <c r="G288" s="3" t="s">
        <v>31</v>
      </c>
      <c r="H288" s="3" t="s">
        <v>24</v>
      </c>
      <c r="I288" s="5" t="n">
        <v>489</v>
      </c>
      <c r="J288" s="6" t="n">
        <v>3270</v>
      </c>
      <c r="K288" s="7" t="n">
        <f aca="false">I288*J288</f>
        <v>1599030</v>
      </c>
      <c r="L288" s="8" t="n">
        <v>0.075</v>
      </c>
      <c r="M288" s="7" t="n">
        <f aca="false">K288*(1-L288)</f>
        <v>1479102.75</v>
      </c>
      <c r="N288" s="8" t="n">
        <v>0.743</v>
      </c>
      <c r="O288" s="7" t="n">
        <f aca="false">M288*N288</f>
        <v>1098973.34325</v>
      </c>
      <c r="P288" s="7" t="n">
        <f aca="false">M288-O288</f>
        <v>380129.40675</v>
      </c>
      <c r="Q288" s="3" t="s">
        <v>25</v>
      </c>
      <c r="R288" s="3" t="str">
        <f aca="false">TEXT(A288,"YYYY-MM")</f>
        <v>2025-08</v>
      </c>
    </row>
    <row r="289" customFormat="false" ht="15" hidden="false" customHeight="false" outlineLevel="0" collapsed="false">
      <c r="A289" s="2" t="n">
        <v>45896</v>
      </c>
      <c r="B289" s="3" t="s">
        <v>706</v>
      </c>
      <c r="C289" s="3" t="s">
        <v>471</v>
      </c>
      <c r="D289" s="4" t="s">
        <v>472</v>
      </c>
      <c r="E289" s="3" t="s">
        <v>143</v>
      </c>
      <c r="F289" s="4" t="s">
        <v>144</v>
      </c>
      <c r="G289" s="3" t="s">
        <v>31</v>
      </c>
      <c r="H289" s="3" t="s">
        <v>38</v>
      </c>
      <c r="I289" s="5" t="n">
        <v>900</v>
      </c>
      <c r="J289" s="6" t="n">
        <v>5060</v>
      </c>
      <c r="K289" s="7" t="n">
        <f aca="false">I289*J289</f>
        <v>4554000</v>
      </c>
      <c r="L289" s="8" t="n">
        <v>0.098</v>
      </c>
      <c r="M289" s="7" t="n">
        <f aca="false">K289*(1-L289)</f>
        <v>4107708</v>
      </c>
      <c r="N289" s="8" t="n">
        <v>0.718</v>
      </c>
      <c r="O289" s="7" t="n">
        <f aca="false">M289*N289</f>
        <v>2949334.344</v>
      </c>
      <c r="P289" s="7" t="n">
        <f aca="false">M289-O289</f>
        <v>1158373.656</v>
      </c>
      <c r="Q289" s="3" t="s">
        <v>82</v>
      </c>
      <c r="R289" s="3" t="str">
        <f aca="false">TEXT(A289,"YYYY-MM")</f>
        <v>2025-08</v>
      </c>
    </row>
    <row r="290" customFormat="false" ht="15" hidden="false" customHeight="false" outlineLevel="0" collapsed="false">
      <c r="A290" s="2" t="n">
        <v>45896</v>
      </c>
      <c r="B290" s="3" t="s">
        <v>707</v>
      </c>
      <c r="C290" s="3" t="s">
        <v>605</v>
      </c>
      <c r="D290" s="4" t="s">
        <v>422</v>
      </c>
      <c r="E290" s="3" t="s">
        <v>300</v>
      </c>
      <c r="F290" s="4" t="s">
        <v>301</v>
      </c>
      <c r="G290" s="3" t="s">
        <v>31</v>
      </c>
      <c r="H290" s="3" t="s">
        <v>44</v>
      </c>
      <c r="I290" s="5" t="n">
        <v>490</v>
      </c>
      <c r="J290" s="6" t="n">
        <v>2020</v>
      </c>
      <c r="K290" s="7" t="n">
        <f aca="false">I290*J290</f>
        <v>989800</v>
      </c>
      <c r="L290" s="8" t="n">
        <v>0.097</v>
      </c>
      <c r="M290" s="7" t="n">
        <f aca="false">K290*(1-L290)</f>
        <v>893789.4</v>
      </c>
      <c r="N290" s="8" t="n">
        <v>0.653</v>
      </c>
      <c r="O290" s="7" t="n">
        <f aca="false">M290*N290</f>
        <v>583644.4782</v>
      </c>
      <c r="P290" s="7" t="n">
        <f aca="false">M290-O290</f>
        <v>310144.9218</v>
      </c>
      <c r="Q290" s="3" t="s">
        <v>25</v>
      </c>
      <c r="R290" s="3" t="str">
        <f aca="false">TEXT(A290,"YYYY-MM")</f>
        <v>2025-08</v>
      </c>
    </row>
    <row r="291" customFormat="false" ht="15" hidden="false" customHeight="false" outlineLevel="0" collapsed="false">
      <c r="A291" s="2" t="n">
        <v>45897</v>
      </c>
      <c r="B291" s="3" t="s">
        <v>708</v>
      </c>
      <c r="C291" s="3" t="s">
        <v>105</v>
      </c>
      <c r="D291" s="4" t="s">
        <v>106</v>
      </c>
      <c r="E291" s="3" t="s">
        <v>94</v>
      </c>
      <c r="F291" s="4" t="s">
        <v>95</v>
      </c>
      <c r="G291" s="3" t="s">
        <v>31</v>
      </c>
      <c r="H291" s="3" t="s">
        <v>44</v>
      </c>
      <c r="I291" s="5" t="n">
        <v>258</v>
      </c>
      <c r="J291" s="6" t="n">
        <v>2860</v>
      </c>
      <c r="K291" s="7" t="n">
        <f aca="false">I291*J291</f>
        <v>737880</v>
      </c>
      <c r="L291" s="8" t="n">
        <v>0.018</v>
      </c>
      <c r="M291" s="7" t="n">
        <f aca="false">K291*(1-L291)</f>
        <v>724598.16</v>
      </c>
      <c r="N291" s="8" t="n">
        <v>0.62</v>
      </c>
      <c r="O291" s="7" t="n">
        <f aca="false">M291*N291</f>
        <v>449250.8592</v>
      </c>
      <c r="P291" s="7" t="n">
        <f aca="false">M291-O291</f>
        <v>275347.3008</v>
      </c>
      <c r="Q291" s="3" t="s">
        <v>25</v>
      </c>
      <c r="R291" s="3" t="str">
        <f aca="false">TEXT(A291,"YYYY-MM")</f>
        <v>2025-08</v>
      </c>
    </row>
    <row r="292" customFormat="false" ht="15" hidden="false" customHeight="false" outlineLevel="0" collapsed="false">
      <c r="A292" s="2" t="n">
        <v>45898</v>
      </c>
      <c r="B292" s="3" t="s">
        <v>709</v>
      </c>
      <c r="C292" s="3" t="s">
        <v>115</v>
      </c>
      <c r="D292" s="4" t="s">
        <v>116</v>
      </c>
      <c r="E292" s="3" t="s">
        <v>458</v>
      </c>
      <c r="F292" s="4" t="s">
        <v>459</v>
      </c>
      <c r="G292" s="3" t="s">
        <v>37</v>
      </c>
      <c r="H292" s="3" t="s">
        <v>44</v>
      </c>
      <c r="I292" s="5" t="n">
        <v>226</v>
      </c>
      <c r="J292" s="6" t="n">
        <v>18190</v>
      </c>
      <c r="K292" s="7" t="n">
        <f aca="false">I292*J292</f>
        <v>4110940</v>
      </c>
      <c r="L292" s="8" t="n">
        <v>0</v>
      </c>
      <c r="M292" s="7" t="n">
        <f aca="false">K292*(1-L292)</f>
        <v>4110940</v>
      </c>
      <c r="N292" s="8" t="n">
        <v>0.67</v>
      </c>
      <c r="O292" s="7" t="n">
        <f aca="false">M292*N292</f>
        <v>2754329.8</v>
      </c>
      <c r="P292" s="7" t="n">
        <f aca="false">M292-O292</f>
        <v>1356610.2</v>
      </c>
      <c r="Q292" s="3" t="s">
        <v>25</v>
      </c>
      <c r="R292" s="3" t="str">
        <f aca="false">TEXT(A292,"YYYY-MM")</f>
        <v>2025-08</v>
      </c>
    </row>
    <row r="293" customFormat="false" ht="15" hidden="false" customHeight="false" outlineLevel="0" collapsed="false">
      <c r="A293" s="2" t="n">
        <v>45898</v>
      </c>
      <c r="B293" s="3" t="s">
        <v>710</v>
      </c>
      <c r="C293" s="3" t="s">
        <v>393</v>
      </c>
      <c r="D293" s="4" t="s">
        <v>394</v>
      </c>
      <c r="E293" s="3" t="s">
        <v>383</v>
      </c>
      <c r="F293" s="4" t="s">
        <v>384</v>
      </c>
      <c r="G293" s="3" t="s">
        <v>31</v>
      </c>
      <c r="H293" s="3" t="s">
        <v>44</v>
      </c>
      <c r="I293" s="5" t="n">
        <v>658</v>
      </c>
      <c r="J293" s="6" t="n">
        <v>8630</v>
      </c>
      <c r="K293" s="7" t="n">
        <f aca="false">I293*J293</f>
        <v>5678540</v>
      </c>
      <c r="L293" s="8" t="n">
        <v>0.1</v>
      </c>
      <c r="M293" s="7" t="n">
        <f aca="false">K293*(1-L293)</f>
        <v>5110686</v>
      </c>
      <c r="N293" s="8" t="n">
        <v>0.694</v>
      </c>
      <c r="O293" s="7" t="n">
        <f aca="false">M293*N293</f>
        <v>3546816.084</v>
      </c>
      <c r="P293" s="7" t="n">
        <f aca="false">M293-O293</f>
        <v>1563869.916</v>
      </c>
      <c r="Q293" s="3" t="s">
        <v>25</v>
      </c>
      <c r="R293" s="3" t="str">
        <f aca="false">TEXT(A293,"YYYY-MM")</f>
        <v>2025-08</v>
      </c>
    </row>
    <row r="294" customFormat="false" ht="15" hidden="false" customHeight="false" outlineLevel="0" collapsed="false">
      <c r="A294" s="2" t="n">
        <v>45898</v>
      </c>
      <c r="B294" s="3" t="s">
        <v>711</v>
      </c>
      <c r="C294" s="3" t="s">
        <v>646</v>
      </c>
      <c r="D294" s="4" t="s">
        <v>647</v>
      </c>
      <c r="E294" s="3" t="s">
        <v>431</v>
      </c>
      <c r="F294" s="4" t="s">
        <v>432</v>
      </c>
      <c r="G294" s="3" t="s">
        <v>151</v>
      </c>
      <c r="H294" s="3" t="s">
        <v>24</v>
      </c>
      <c r="I294" s="5" t="n">
        <v>101</v>
      </c>
      <c r="J294" s="6" t="n">
        <v>21080</v>
      </c>
      <c r="K294" s="7" t="n">
        <f aca="false">I294*J294</f>
        <v>2129080</v>
      </c>
      <c r="L294" s="8" t="n">
        <v>0.033</v>
      </c>
      <c r="M294" s="7" t="n">
        <f aca="false">K294*(1-L294)</f>
        <v>2058820.36</v>
      </c>
      <c r="N294" s="8" t="n">
        <v>0.75</v>
      </c>
      <c r="O294" s="7" t="n">
        <f aca="false">M294*N294</f>
        <v>1544115.27</v>
      </c>
      <c r="P294" s="7" t="n">
        <f aca="false">M294-O294</f>
        <v>514705.09</v>
      </c>
      <c r="Q294" s="3" t="s">
        <v>25</v>
      </c>
      <c r="R294" s="3" t="str">
        <f aca="false">TEXT(A294,"YYYY-MM")</f>
        <v>2025-08</v>
      </c>
    </row>
    <row r="295" customFormat="false" ht="15" hidden="false" customHeight="false" outlineLevel="0" collapsed="false">
      <c r="A295" s="2" t="n">
        <v>45899</v>
      </c>
      <c r="B295" s="3" t="s">
        <v>712</v>
      </c>
      <c r="C295" s="3" t="s">
        <v>131</v>
      </c>
      <c r="D295" s="4" t="s">
        <v>132</v>
      </c>
      <c r="E295" s="3" t="s">
        <v>616</v>
      </c>
      <c r="F295" s="4" t="s">
        <v>617</v>
      </c>
      <c r="G295" s="3" t="s">
        <v>151</v>
      </c>
      <c r="H295" s="3" t="s">
        <v>44</v>
      </c>
      <c r="I295" s="5" t="n">
        <v>92</v>
      </c>
      <c r="J295" s="6" t="n">
        <v>10540</v>
      </c>
      <c r="K295" s="7" t="n">
        <f aca="false">I295*J295</f>
        <v>969680</v>
      </c>
      <c r="L295" s="8" t="n">
        <v>0.038</v>
      </c>
      <c r="M295" s="7" t="n">
        <f aca="false">K295*(1-L295)</f>
        <v>932832.16</v>
      </c>
      <c r="N295" s="8" t="n">
        <v>0.66</v>
      </c>
      <c r="O295" s="7" t="n">
        <f aca="false">M295*N295</f>
        <v>615669.2256</v>
      </c>
      <c r="P295" s="7" t="n">
        <f aca="false">M295-O295</f>
        <v>317162.9344</v>
      </c>
      <c r="Q295" s="3" t="s">
        <v>25</v>
      </c>
      <c r="R295" s="3" t="str">
        <f aca="false">TEXT(A295,"YYYY-MM")</f>
        <v>2025-08</v>
      </c>
    </row>
    <row r="296" customFormat="false" ht="15" hidden="false" customHeight="false" outlineLevel="0" collapsed="false">
      <c r="A296" s="2" t="n">
        <v>45899</v>
      </c>
      <c r="B296" s="3" t="s">
        <v>713</v>
      </c>
      <c r="C296" s="3" t="s">
        <v>61</v>
      </c>
      <c r="D296" s="4" t="s">
        <v>62</v>
      </c>
      <c r="E296" s="3" t="s">
        <v>485</v>
      </c>
      <c r="F296" s="4" t="s">
        <v>486</v>
      </c>
      <c r="G296" s="3" t="s">
        <v>31</v>
      </c>
      <c r="H296" s="3" t="s">
        <v>44</v>
      </c>
      <c r="I296" s="5" t="n">
        <v>176</v>
      </c>
      <c r="J296" s="6" t="n">
        <v>1700</v>
      </c>
      <c r="K296" s="7" t="n">
        <f aca="false">I296*J296</f>
        <v>299200</v>
      </c>
      <c r="L296" s="8" t="n">
        <v>0</v>
      </c>
      <c r="M296" s="7" t="n">
        <f aca="false">K296*(1-L296)</f>
        <v>299200</v>
      </c>
      <c r="N296" s="8" t="n">
        <v>0.706</v>
      </c>
      <c r="O296" s="7" t="n">
        <f aca="false">M296*N296</f>
        <v>211235.2</v>
      </c>
      <c r="P296" s="7" t="n">
        <f aca="false">M296-O296</f>
        <v>87964.8</v>
      </c>
      <c r="Q296" s="3" t="s">
        <v>25</v>
      </c>
      <c r="R296" s="3" t="str">
        <f aca="false">TEXT(A296,"YYYY-MM")</f>
        <v>2025-08</v>
      </c>
    </row>
    <row r="297" customFormat="false" ht="15" hidden="false" customHeight="false" outlineLevel="0" collapsed="false">
      <c r="A297" s="2" t="n">
        <v>45899</v>
      </c>
      <c r="B297" s="3" t="s">
        <v>714</v>
      </c>
      <c r="C297" s="3" t="s">
        <v>214</v>
      </c>
      <c r="D297" s="4" t="s">
        <v>215</v>
      </c>
      <c r="E297" s="3" t="s">
        <v>715</v>
      </c>
      <c r="F297" s="4" t="s">
        <v>716</v>
      </c>
      <c r="G297" s="3" t="s">
        <v>23</v>
      </c>
      <c r="H297" s="3" t="s">
        <v>38</v>
      </c>
      <c r="I297" s="5" t="n">
        <v>372</v>
      </c>
      <c r="J297" s="6" t="n">
        <v>3120</v>
      </c>
      <c r="K297" s="7" t="n">
        <f aca="false">I297*J297</f>
        <v>1160640</v>
      </c>
      <c r="L297" s="8" t="n">
        <v>0.066</v>
      </c>
      <c r="M297" s="7" t="n">
        <f aca="false">K297*(1-L297)</f>
        <v>1084037.76</v>
      </c>
      <c r="N297" s="8" t="n">
        <v>0.65</v>
      </c>
      <c r="O297" s="7" t="n">
        <f aca="false">M297*N297</f>
        <v>704624.544</v>
      </c>
      <c r="P297" s="7" t="n">
        <f aca="false">M297-O297</f>
        <v>379413.216</v>
      </c>
      <c r="Q297" s="3" t="s">
        <v>82</v>
      </c>
      <c r="R297" s="3" t="str">
        <f aca="false">TEXT(A297,"YYYY-MM")</f>
        <v>2025-08</v>
      </c>
    </row>
    <row r="298" customFormat="false" ht="15" hidden="false" customHeight="false" outlineLevel="0" collapsed="false">
      <c r="A298" s="2" t="n">
        <v>45899</v>
      </c>
      <c r="B298" s="3" t="s">
        <v>717</v>
      </c>
      <c r="C298" s="3" t="s">
        <v>225</v>
      </c>
      <c r="D298" s="4" t="s">
        <v>226</v>
      </c>
      <c r="E298" s="3" t="s">
        <v>175</v>
      </c>
      <c r="F298" s="4" t="s">
        <v>176</v>
      </c>
      <c r="G298" s="3" t="s">
        <v>23</v>
      </c>
      <c r="H298" s="3" t="s">
        <v>44</v>
      </c>
      <c r="I298" s="5" t="n">
        <v>279</v>
      </c>
      <c r="J298" s="6" t="n">
        <v>2510</v>
      </c>
      <c r="K298" s="7" t="n">
        <f aca="false">I298*J298</f>
        <v>700290</v>
      </c>
      <c r="L298" s="8" t="n">
        <v>0.017</v>
      </c>
      <c r="M298" s="7" t="n">
        <f aca="false">K298*(1-L298)</f>
        <v>688385.07</v>
      </c>
      <c r="N298" s="8" t="n">
        <v>0.644</v>
      </c>
      <c r="O298" s="7" t="n">
        <f aca="false">M298*N298</f>
        <v>443319.98508</v>
      </c>
      <c r="P298" s="7" t="n">
        <f aca="false">M298-O298</f>
        <v>245065.08492</v>
      </c>
      <c r="Q298" s="3" t="s">
        <v>82</v>
      </c>
      <c r="R298" s="3" t="str">
        <f aca="false">TEXT(A298,"YYYY-MM")</f>
        <v>2025-08</v>
      </c>
    </row>
    <row r="299" customFormat="false" ht="15" hidden="false" customHeight="false" outlineLevel="0" collapsed="false">
      <c r="A299" s="2" t="n">
        <v>45899</v>
      </c>
      <c r="B299" s="3" t="s">
        <v>718</v>
      </c>
      <c r="C299" s="3" t="s">
        <v>66</v>
      </c>
      <c r="D299" s="4" t="s">
        <v>67</v>
      </c>
      <c r="E299" s="3" t="s">
        <v>80</v>
      </c>
      <c r="F299" s="4" t="s">
        <v>81</v>
      </c>
      <c r="G299" s="3" t="s">
        <v>23</v>
      </c>
      <c r="H299" s="3" t="s">
        <v>44</v>
      </c>
      <c r="I299" s="5" t="n">
        <v>951</v>
      </c>
      <c r="J299" s="6" t="n">
        <v>2400</v>
      </c>
      <c r="K299" s="7" t="n">
        <f aca="false">I299*J299</f>
        <v>2282400</v>
      </c>
      <c r="L299" s="8" t="n">
        <v>0.101</v>
      </c>
      <c r="M299" s="7" t="n">
        <f aca="false">K299*(1-L299)</f>
        <v>2051877.6</v>
      </c>
      <c r="N299" s="8" t="n">
        <v>0.616</v>
      </c>
      <c r="O299" s="7" t="n">
        <f aca="false">M299*N299</f>
        <v>1263956.6016</v>
      </c>
      <c r="P299" s="7" t="n">
        <f aca="false">M299-O299</f>
        <v>787920.9984</v>
      </c>
      <c r="Q299" s="3" t="s">
        <v>25</v>
      </c>
      <c r="R299" s="3" t="str">
        <f aca="false">TEXT(A299,"YYYY-MM")</f>
        <v>2025-08</v>
      </c>
    </row>
    <row r="300" customFormat="false" ht="15" hidden="false" customHeight="false" outlineLevel="0" collapsed="false">
      <c r="A300" s="2" t="n">
        <v>45900</v>
      </c>
      <c r="B300" s="3" t="s">
        <v>719</v>
      </c>
      <c r="C300" s="3" t="s">
        <v>584</v>
      </c>
      <c r="D300" s="4" t="s">
        <v>585</v>
      </c>
      <c r="E300" s="3" t="s">
        <v>71</v>
      </c>
      <c r="F300" s="4" t="s">
        <v>72</v>
      </c>
      <c r="G300" s="3" t="s">
        <v>23</v>
      </c>
      <c r="H300" s="3" t="s">
        <v>44</v>
      </c>
      <c r="I300" s="5" t="n">
        <v>870</v>
      </c>
      <c r="J300" s="6" t="n">
        <v>6740</v>
      </c>
      <c r="K300" s="7" t="n">
        <f aca="false">I300*J300</f>
        <v>5863800</v>
      </c>
      <c r="L300" s="8" t="n">
        <v>0.091</v>
      </c>
      <c r="M300" s="7" t="n">
        <f aca="false">K300*(1-L300)</f>
        <v>5330194.2</v>
      </c>
      <c r="N300" s="8" t="n">
        <v>0.613</v>
      </c>
      <c r="O300" s="7" t="n">
        <f aca="false">M300*N300</f>
        <v>3267409.0446</v>
      </c>
      <c r="P300" s="7" t="n">
        <f aca="false">M300-O300</f>
        <v>2062785.1554</v>
      </c>
      <c r="Q300" s="3" t="s">
        <v>82</v>
      </c>
      <c r="R300" s="3" t="str">
        <f aca="false">TEXT(A300,"YYYY-MM")</f>
        <v>2025-08</v>
      </c>
    </row>
    <row r="301" customFormat="false" ht="15" hidden="false" customHeight="false" outlineLevel="0" collapsed="false">
      <c r="A301" s="2" t="n">
        <v>45900</v>
      </c>
      <c r="B301" s="3" t="s">
        <v>720</v>
      </c>
      <c r="C301" s="3" t="s">
        <v>721</v>
      </c>
      <c r="D301" s="4" t="s">
        <v>268</v>
      </c>
      <c r="E301" s="3" t="s">
        <v>722</v>
      </c>
      <c r="F301" s="4" t="s">
        <v>723</v>
      </c>
      <c r="G301" s="3" t="s">
        <v>23</v>
      </c>
      <c r="H301" s="3" t="s">
        <v>24</v>
      </c>
      <c r="I301" s="5" t="n">
        <v>147</v>
      </c>
      <c r="J301" s="6" t="n">
        <v>3490</v>
      </c>
      <c r="K301" s="7" t="n">
        <f aca="false">I301*J301</f>
        <v>513030</v>
      </c>
      <c r="L301" s="8" t="n">
        <v>0</v>
      </c>
      <c r="M301" s="7" t="n">
        <f aca="false">K301*(1-L301)</f>
        <v>513030</v>
      </c>
      <c r="N301" s="8" t="n">
        <v>0.639</v>
      </c>
      <c r="O301" s="7" t="n">
        <f aca="false">M301*N301</f>
        <v>327826.17</v>
      </c>
      <c r="P301" s="7" t="n">
        <f aca="false">M301-O301</f>
        <v>185203.83</v>
      </c>
      <c r="Q301" s="3" t="s">
        <v>25</v>
      </c>
      <c r="R301" s="3" t="str">
        <f aca="false">TEXT(A301,"YYYY-MM")</f>
        <v>2025-08</v>
      </c>
    </row>
    <row r="303" customFormat="false" ht="15" hidden="false" customHeight="false" outlineLevel="0" collapsed="false">
      <c r="A303" s="9" t="s">
        <v>724</v>
      </c>
    </row>
  </sheetData>
  <conditionalFormatting sqref="Q2:Q301">
    <cfRule type="cellIs" priority="2" operator="equal" aboveAverage="0" equalAverage="0" bottom="0" percent="0" rank="0" text="" dxfId="8">
      <formula>"Vencido"</formula>
    </cfRule>
    <cfRule type="cellIs" priority="3" operator="equal" aboveAverage="0" equalAverage="0" bottom="0" percent="0" rank="0" text="" dxfId="9">
      <formula>"Pendiente"</formula>
    </cfRule>
    <cfRule type="cellIs" priority="4" operator="equal" aboveAverage="0" equalAverage="0" bottom="0" percent="0" rank="0" text="" dxfId="10">
      <formula>"Pagado"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8"/>
  </cols>
  <sheetData>
    <row r="1" customFormat="false" ht="16.15" hidden="false" customHeight="false" outlineLevel="0" collapsed="false">
      <c r="A1" s="10" t="s">
        <v>725</v>
      </c>
      <c r="B1" s="10"/>
      <c r="C1" s="10"/>
      <c r="D1" s="10"/>
      <c r="E1" s="10"/>
      <c r="F1" s="10"/>
    </row>
    <row r="3" customFormat="false" ht="23.85" hidden="false" customHeight="false" outlineLevel="0" collapsed="false">
      <c r="A3" s="11" t="s">
        <v>17</v>
      </c>
      <c r="B3" s="11" t="s">
        <v>726</v>
      </c>
      <c r="C3" s="11" t="s">
        <v>727</v>
      </c>
      <c r="D3" s="11" t="s">
        <v>728</v>
      </c>
      <c r="E3" s="11" t="s">
        <v>729</v>
      </c>
      <c r="F3" s="11" t="s">
        <v>730</v>
      </c>
    </row>
    <row r="4" customFormat="false" ht="15" hidden="false" customHeight="false" outlineLevel="0" collapsed="false">
      <c r="A4" s="12" t="s">
        <v>731</v>
      </c>
      <c r="B4" s="13" t="n">
        <f aca="false">COUNTIF(Transacciones!R2:R301,"2025-01")</f>
        <v>32</v>
      </c>
      <c r="C4" s="14" t="n">
        <f aca="false">SUMIFS(Transacciones!M2:M301,Transacciones!R2:R301,"2025-01")</f>
        <v>88883007.1</v>
      </c>
      <c r="D4" s="14" t="n">
        <f aca="false">SUMIFS(Transacciones!O2:O301,Transacciones!R2:R301,"2025-01")</f>
        <v>61125877.45356</v>
      </c>
      <c r="E4" s="14" t="n">
        <f aca="false">C4-D4</f>
        <v>27757129.64644</v>
      </c>
      <c r="F4" s="15" t="n">
        <f aca="false">E4/C4</f>
        <v>0.312288372683106</v>
      </c>
    </row>
    <row r="5" customFormat="false" ht="15" hidden="false" customHeight="false" outlineLevel="0" collapsed="false">
      <c r="A5" s="12" t="s">
        <v>732</v>
      </c>
      <c r="B5" s="13" t="n">
        <f aca="false">COUNTIF(Transacciones!R2:R301,"2025-02")</f>
        <v>33</v>
      </c>
      <c r="C5" s="14" t="n">
        <f aca="false">SUMIFS(Transacciones!M2:M301,Transacciones!R2:R301,"2025-02")</f>
        <v>102706595.63</v>
      </c>
      <c r="D5" s="14" t="n">
        <f aca="false">SUMIFS(Transacciones!O2:O301,Transacciones!R2:R301,"2025-02")</f>
        <v>67934289.92439</v>
      </c>
      <c r="E5" s="14" t="n">
        <f aca="false">C5-D5</f>
        <v>34772305.70561</v>
      </c>
      <c r="F5" s="15" t="n">
        <f aca="false">E5/C5</f>
        <v>0.338559617250649</v>
      </c>
    </row>
    <row r="6" customFormat="false" ht="15" hidden="false" customHeight="false" outlineLevel="0" collapsed="false">
      <c r="A6" s="12" t="s">
        <v>733</v>
      </c>
      <c r="B6" s="13" t="n">
        <f aca="false">COUNTIF(Transacciones!R2:R301,"2025-03")</f>
        <v>35</v>
      </c>
      <c r="C6" s="14" t="n">
        <f aca="false">SUMIFS(Transacciones!M2:M301,Transacciones!R2:R301,"2025-03")</f>
        <v>101809833.2</v>
      </c>
      <c r="D6" s="14" t="n">
        <f aca="false">SUMIFS(Transacciones!O2:O301,Transacciones!R2:R301,"2025-03")</f>
        <v>67727441.1564</v>
      </c>
      <c r="E6" s="14" t="n">
        <f aca="false">C6-D6</f>
        <v>34082392.0436</v>
      </c>
      <c r="F6" s="15" t="n">
        <f aca="false">E6/C6</f>
        <v>0.334765228194088</v>
      </c>
    </row>
    <row r="7" customFormat="false" ht="15" hidden="false" customHeight="false" outlineLevel="0" collapsed="false">
      <c r="A7" s="12" t="s">
        <v>734</v>
      </c>
      <c r="B7" s="13" t="n">
        <f aca="false">COUNTIF(Transacciones!R2:R301,"2025-04")</f>
        <v>36</v>
      </c>
      <c r="C7" s="14" t="n">
        <f aca="false">SUMIFS(Transacciones!M2:M301,Transacciones!R2:R301,"2025-04")</f>
        <v>101713015.17</v>
      </c>
      <c r="D7" s="14" t="n">
        <f aca="false">SUMIFS(Transacciones!O2:O301,Transacciones!R2:R301,"2025-04")</f>
        <v>67361311.47871</v>
      </c>
      <c r="E7" s="14" t="n">
        <f aca="false">C7-D7</f>
        <v>34351703.69129</v>
      </c>
      <c r="F7" s="15" t="n">
        <f aca="false">E7/C7</f>
        <v>0.337731642640577</v>
      </c>
    </row>
    <row r="8" customFormat="false" ht="15" hidden="false" customHeight="false" outlineLevel="0" collapsed="false">
      <c r="A8" s="12" t="s">
        <v>735</v>
      </c>
      <c r="B8" s="13" t="n">
        <f aca="false">COUNTIF(Transacciones!R2:R301,"2025-05")</f>
        <v>37</v>
      </c>
      <c r="C8" s="14" t="n">
        <f aca="false">SUMIFS(Transacciones!M2:M301,Transacciones!R2:R301,"2025-05")</f>
        <v>98179444.35</v>
      </c>
      <c r="D8" s="14" t="n">
        <f aca="false">SUMIFS(Transacciones!O2:O301,Transacciones!R2:R301,"2025-05")</f>
        <v>66555643.29604</v>
      </c>
      <c r="E8" s="14" t="n">
        <f aca="false">C8-D8</f>
        <v>31623801.05396</v>
      </c>
      <c r="F8" s="15" t="n">
        <f aca="false">E8/C8</f>
        <v>0.322102057750747</v>
      </c>
    </row>
    <row r="9" customFormat="false" ht="15" hidden="false" customHeight="false" outlineLevel="0" collapsed="false">
      <c r="A9" s="12" t="s">
        <v>736</v>
      </c>
      <c r="B9" s="13" t="n">
        <f aca="false">COUNTIF(Transacciones!R2:R301,"2025-06")</f>
        <v>39</v>
      </c>
      <c r="C9" s="14" t="n">
        <f aca="false">SUMIFS(Transacciones!M2:M301,Transacciones!R2:R301,"2025-06")</f>
        <v>97488833.45</v>
      </c>
      <c r="D9" s="14" t="n">
        <f aca="false">SUMIFS(Transacciones!O2:O301,Transacciones!R2:R301,"2025-06")</f>
        <v>64578561.99369</v>
      </c>
      <c r="E9" s="14" t="n">
        <f aca="false">C9-D9</f>
        <v>32910271.45631</v>
      </c>
      <c r="F9" s="15" t="n">
        <f aca="false">E9/C9</f>
        <v>0.337579908299846</v>
      </c>
    </row>
    <row r="10" customFormat="false" ht="15" hidden="false" customHeight="false" outlineLevel="0" collapsed="false">
      <c r="A10" s="12" t="s">
        <v>737</v>
      </c>
      <c r="B10" s="13" t="n">
        <f aca="false">COUNTIF(Transacciones!R2:R301,"2025-07")</f>
        <v>40</v>
      </c>
      <c r="C10" s="14" t="n">
        <f aca="false">SUMIFS(Transacciones!M2:M301,Transacciones!R2:R301,"2025-07")</f>
        <v>125331979.04</v>
      </c>
      <c r="D10" s="14" t="n">
        <f aca="false">SUMIFS(Transacciones!O2:O301,Transacciones!R2:R301,"2025-07")</f>
        <v>83480764.86943</v>
      </c>
      <c r="E10" s="14" t="n">
        <f aca="false">C10-D10</f>
        <v>41851214.17057</v>
      </c>
      <c r="F10" s="15" t="n">
        <f aca="false">E10/C10</f>
        <v>0.33392287021346</v>
      </c>
    </row>
    <row r="11" customFormat="false" ht="15" hidden="false" customHeight="false" outlineLevel="0" collapsed="false">
      <c r="A11" s="12" t="s">
        <v>738</v>
      </c>
      <c r="B11" s="13" t="n">
        <f aca="false">COUNTIF(Transacciones!R2:R301,"2025-08")</f>
        <v>48</v>
      </c>
      <c r="C11" s="14" t="n">
        <f aca="false">SUMIFS(Transacciones!M2:M301,Transacciones!R2:R301,"2025-08")</f>
        <v>112374457.94</v>
      </c>
      <c r="D11" s="14" t="n">
        <f aca="false">SUMIFS(Transacciones!O2:O301,Transacciones!R2:R301,"2025-08")</f>
        <v>75769224.68519</v>
      </c>
      <c r="E11" s="14" t="n">
        <f aca="false">C11-D11</f>
        <v>36605233.25481</v>
      </c>
      <c r="F11" s="15" t="n">
        <f aca="false">E11/C11</f>
        <v>0.325743357750874</v>
      </c>
    </row>
    <row r="12" customFormat="false" ht="15" hidden="false" customHeight="false" outlineLevel="0" collapsed="false">
      <c r="A12" s="16" t="s">
        <v>739</v>
      </c>
      <c r="B12" s="17" t="n">
        <f aca="false">SUM(B4:B11)</f>
        <v>300</v>
      </c>
      <c r="C12" s="18" t="n">
        <f aca="false">SUM(C4:C11)</f>
        <v>828487165.88</v>
      </c>
      <c r="D12" s="18" t="n">
        <f aca="false">SUM(D4:D11)</f>
        <v>554533114.85741</v>
      </c>
      <c r="E12" s="18" t="n">
        <f aca="false">C12-D12</f>
        <v>273954051.02259</v>
      </c>
      <c r="F12" s="19" t="n">
        <f aca="false">E12/C12</f>
        <v>0.330667827221684</v>
      </c>
    </row>
    <row r="15" customFormat="false" ht="15" hidden="false" customHeight="false" outlineLevel="0" collapsed="false">
      <c r="A15" s="20" t="s">
        <v>740</v>
      </c>
    </row>
    <row r="16" customFormat="false" ht="15" hidden="false" customHeight="false" outlineLevel="0" collapsed="false">
      <c r="A16" s="21" t="s">
        <v>17</v>
      </c>
      <c r="B16" s="21" t="s">
        <v>24</v>
      </c>
      <c r="C16" s="21" t="s">
        <v>44</v>
      </c>
      <c r="D16" s="21" t="s">
        <v>38</v>
      </c>
      <c r="E16" s="21" t="s">
        <v>741</v>
      </c>
    </row>
    <row r="17" customFormat="false" ht="15" hidden="false" customHeight="false" outlineLevel="0" collapsed="false">
      <c r="A17" s="12" t="s">
        <v>731</v>
      </c>
      <c r="B17" s="14" t="n">
        <f aca="false">SUMIFS(Transacciones!M2:M301,Transacciones!R2:R301,"2025-01",Transacciones!H2:H301,"Tienda tradicional")</f>
        <v>20565668.86</v>
      </c>
      <c r="C17" s="14" t="n">
        <f aca="false">SUMIFS(Transacciones!M2:M301,Transacciones!R2:R301,"2025-01",Transacciones!H2:H301,"Supermercado")</f>
        <v>42022637.98</v>
      </c>
      <c r="D17" s="14" t="n">
        <f aca="false">SUMIFS(Transacciones!M2:M301,Transacciones!R2:R301,"2025-01",Transacciones!H2:H301,"Institucional")</f>
        <v>26294700.26</v>
      </c>
      <c r="E17" s="22" t="n">
        <f aca="false">SUM(B17:D17)</f>
        <v>88883007.1</v>
      </c>
    </row>
    <row r="18" customFormat="false" ht="15" hidden="false" customHeight="false" outlineLevel="0" collapsed="false">
      <c r="A18" s="12" t="s">
        <v>732</v>
      </c>
      <c r="B18" s="14" t="n">
        <f aca="false">SUMIFS(Transacciones!M2:M301,Transacciones!R2:R301,"2025-02",Transacciones!H2:H301,"Tienda tradicional")</f>
        <v>20531242.99</v>
      </c>
      <c r="C18" s="14" t="n">
        <f aca="false">SUMIFS(Transacciones!M2:M301,Transacciones!R2:R301,"2025-02",Transacciones!H2:H301,"Supermercado")</f>
        <v>40524923.03</v>
      </c>
      <c r="D18" s="14" t="n">
        <f aca="false">SUMIFS(Transacciones!M2:M301,Transacciones!R2:R301,"2025-02",Transacciones!H2:H301,"Institucional")</f>
        <v>41650429.61</v>
      </c>
      <c r="E18" s="22" t="n">
        <f aca="false">SUM(B18:D18)</f>
        <v>102706595.63</v>
      </c>
    </row>
    <row r="19" customFormat="false" ht="15" hidden="false" customHeight="false" outlineLevel="0" collapsed="false">
      <c r="A19" s="12" t="s">
        <v>733</v>
      </c>
      <c r="B19" s="14" t="n">
        <f aca="false">SUMIFS(Transacciones!M2:M301,Transacciones!R2:R301,"2025-03",Transacciones!H2:H301,"Tienda tradicional")</f>
        <v>18355206.54</v>
      </c>
      <c r="C19" s="14" t="n">
        <f aca="false">SUMIFS(Transacciones!M2:M301,Transacciones!R2:R301,"2025-03",Transacciones!H2:H301,"Supermercado")</f>
        <v>75439383.39</v>
      </c>
      <c r="D19" s="14" t="n">
        <f aca="false">SUMIFS(Transacciones!M2:M301,Transacciones!R2:R301,"2025-03",Transacciones!H2:H301,"Institucional")</f>
        <v>8015243.27</v>
      </c>
      <c r="E19" s="22" t="n">
        <f aca="false">SUM(B19:D19)</f>
        <v>101809833.2</v>
      </c>
    </row>
    <row r="20" customFormat="false" ht="15" hidden="false" customHeight="false" outlineLevel="0" collapsed="false">
      <c r="A20" s="12" t="s">
        <v>734</v>
      </c>
      <c r="B20" s="14" t="n">
        <f aca="false">SUMIFS(Transacciones!M2:M301,Transacciones!R2:R301,"2025-04",Transacciones!H2:H301,"Tienda tradicional")</f>
        <v>22629427.15</v>
      </c>
      <c r="C20" s="14" t="n">
        <f aca="false">SUMIFS(Transacciones!M2:M301,Transacciones!R2:R301,"2025-04",Transacciones!H2:H301,"Supermercado")</f>
        <v>50006704.58</v>
      </c>
      <c r="D20" s="14" t="n">
        <f aca="false">SUMIFS(Transacciones!M2:M301,Transacciones!R2:R301,"2025-04",Transacciones!H2:H301,"Institucional")</f>
        <v>29076883.44</v>
      </c>
      <c r="E20" s="22" t="n">
        <f aca="false">SUM(B20:D20)</f>
        <v>101713015.17</v>
      </c>
    </row>
    <row r="21" customFormat="false" ht="15" hidden="false" customHeight="false" outlineLevel="0" collapsed="false">
      <c r="A21" s="12" t="s">
        <v>735</v>
      </c>
      <c r="B21" s="14" t="n">
        <f aca="false">SUMIFS(Transacciones!M2:M301,Transacciones!R2:R301,"2025-05",Transacciones!H2:H301,"Tienda tradicional")</f>
        <v>32404383.52</v>
      </c>
      <c r="C21" s="14" t="n">
        <f aca="false">SUMIFS(Transacciones!M2:M301,Transacciones!R2:R301,"2025-05",Transacciones!H2:H301,"Supermercado")</f>
        <v>46056422.79</v>
      </c>
      <c r="D21" s="14" t="n">
        <f aca="false">SUMIFS(Transacciones!M2:M301,Transacciones!R2:R301,"2025-05",Transacciones!H2:H301,"Institucional")</f>
        <v>19718638.04</v>
      </c>
      <c r="E21" s="22" t="n">
        <f aca="false">SUM(B21:D21)</f>
        <v>98179444.35</v>
      </c>
    </row>
    <row r="22" customFormat="false" ht="15" hidden="false" customHeight="false" outlineLevel="0" collapsed="false">
      <c r="A22" s="12" t="s">
        <v>736</v>
      </c>
      <c r="B22" s="14" t="n">
        <f aca="false">SUMIFS(Transacciones!M2:M301,Transacciones!R2:R301,"2025-06",Transacciones!H2:H301,"Tienda tradicional")</f>
        <v>33184046.68</v>
      </c>
      <c r="C22" s="14" t="n">
        <f aca="false">SUMIFS(Transacciones!M2:M301,Transacciones!R2:R301,"2025-06",Transacciones!H2:H301,"Supermercado")</f>
        <v>38013548.65</v>
      </c>
      <c r="D22" s="14" t="n">
        <f aca="false">SUMIFS(Transacciones!M2:M301,Transacciones!R2:R301,"2025-06",Transacciones!H2:H301,"Institucional")</f>
        <v>26291238.12</v>
      </c>
      <c r="E22" s="22" t="n">
        <f aca="false">SUM(B22:D22)</f>
        <v>97488833.45</v>
      </c>
    </row>
    <row r="23" customFormat="false" ht="15" hidden="false" customHeight="false" outlineLevel="0" collapsed="false">
      <c r="A23" s="12" t="s">
        <v>737</v>
      </c>
      <c r="B23" s="14" t="n">
        <f aca="false">SUMIFS(Transacciones!M2:M301,Transacciones!R2:R301,"2025-07",Transacciones!H2:H301,"Tienda tradicional")</f>
        <v>37692072.13</v>
      </c>
      <c r="C23" s="14" t="n">
        <f aca="false">SUMIFS(Transacciones!M2:M301,Transacciones!R2:R301,"2025-07",Transacciones!H2:H301,"Supermercado")</f>
        <v>73437850.27</v>
      </c>
      <c r="D23" s="14" t="n">
        <f aca="false">SUMIFS(Transacciones!M2:M301,Transacciones!R2:R301,"2025-07",Transacciones!H2:H301,"Institucional")</f>
        <v>14202056.64</v>
      </c>
      <c r="E23" s="22" t="n">
        <f aca="false">SUM(B23:D23)</f>
        <v>125331979.04</v>
      </c>
    </row>
    <row r="24" customFormat="false" ht="15" hidden="false" customHeight="false" outlineLevel="0" collapsed="false">
      <c r="A24" s="12" t="s">
        <v>738</v>
      </c>
      <c r="B24" s="14" t="n">
        <f aca="false">SUMIFS(Transacciones!M2:M301,Transacciones!R2:R301,"2025-08",Transacciones!H2:H301,"Tienda tradicional")</f>
        <v>28000174.87</v>
      </c>
      <c r="C24" s="14" t="n">
        <f aca="false">SUMIFS(Transacciones!M2:M301,Transacciones!R2:R301,"2025-08",Transacciones!H2:H301,"Supermercado")</f>
        <v>77203555.81</v>
      </c>
      <c r="D24" s="14" t="n">
        <f aca="false">SUMIFS(Transacciones!M2:M301,Transacciones!R2:R301,"2025-08",Transacciones!H2:H301,"Institucional")</f>
        <v>7170727.26</v>
      </c>
      <c r="E24" s="22" t="n">
        <f aca="false">SUM(B24:D24)</f>
        <v>112374457.94</v>
      </c>
    </row>
    <row r="25" customFormat="false" ht="15" hidden="false" customHeight="false" outlineLevel="0" collapsed="false">
      <c r="A25" s="23" t="s">
        <v>742</v>
      </c>
      <c r="B25" s="18" t="n">
        <f aca="false">SUM(B17:B24)</f>
        <v>213362222.74</v>
      </c>
      <c r="C25" s="18" t="n">
        <f aca="false">SUM(C17:C24)</f>
        <v>442705026.5</v>
      </c>
      <c r="D25" s="18" t="n">
        <f aca="false">SUM(D17:D24)</f>
        <v>172419916.64</v>
      </c>
      <c r="E25" s="18" t="n">
        <f aca="false">SUM(E17:E24)</f>
        <v>828487165.88</v>
      </c>
    </row>
    <row r="28" customFormat="false" ht="15" hidden="false" customHeight="false" outlineLevel="0" collapsed="false">
      <c r="A28" s="20" t="s">
        <v>743</v>
      </c>
    </row>
    <row r="29" customFormat="false" ht="15" hidden="false" customHeight="false" outlineLevel="0" collapsed="false">
      <c r="A29" s="11" t="s">
        <v>17</v>
      </c>
      <c r="B29" s="11" t="s">
        <v>31</v>
      </c>
      <c r="C29" s="11" t="s">
        <v>23</v>
      </c>
      <c r="D29" s="11" t="s">
        <v>201</v>
      </c>
      <c r="E29" s="11" t="s">
        <v>151</v>
      </c>
      <c r="F29" s="11" t="s">
        <v>37</v>
      </c>
      <c r="G29" s="11" t="s">
        <v>741</v>
      </c>
    </row>
    <row r="30" customFormat="false" ht="15" hidden="false" customHeight="false" outlineLevel="0" collapsed="false">
      <c r="A30" s="12" t="s">
        <v>731</v>
      </c>
      <c r="B30" s="14" t="n">
        <f aca="false">SUMIFS(Transacciones!M2:M301,Transacciones!R2:R301,"2025-01",Transacciones!G2:G301,"Bebidas")</f>
        <v>32758893.07</v>
      </c>
      <c r="C30" s="14" t="n">
        <f aca="false">SUMIFS(Transacciones!M2:M301,Transacciones!R2:R301,"2025-01",Transacciones!G2:G301,"Alimentos")</f>
        <v>49651646</v>
      </c>
      <c r="D30" s="14" t="n">
        <f aca="false">SUMIFS(Transacciones!M2:M301,Transacciones!R2:R301,"2025-01",Transacciones!G2:G301,"Aseo")</f>
        <v>0</v>
      </c>
      <c r="E30" s="14" t="n">
        <f aca="false">SUMIFS(Transacciones!M2:M301,Transacciones!R2:R301,"2025-01",Transacciones!G2:G301,"Cuidado Personal")</f>
        <v>456190</v>
      </c>
      <c r="F30" s="14" t="n">
        <f aca="false">SUMIFS(Transacciones!M2:M301,Transacciones!R2:R301,"2025-01",Transacciones!G2:G301,"Marca propia")</f>
        <v>6016278.03</v>
      </c>
      <c r="G30" s="22" t="n">
        <f aca="false">SUM(B30:F30)</f>
        <v>88883007.1</v>
      </c>
    </row>
    <row r="31" customFormat="false" ht="15" hidden="false" customHeight="false" outlineLevel="0" collapsed="false">
      <c r="A31" s="12" t="s">
        <v>732</v>
      </c>
      <c r="B31" s="14" t="n">
        <f aca="false">SUMIFS(Transacciones!M2:M301,Transacciones!R2:R301,"2025-02",Transacciones!G2:G301,"Bebidas")</f>
        <v>26230751.57</v>
      </c>
      <c r="C31" s="14" t="n">
        <f aca="false">SUMIFS(Transacciones!M2:M301,Transacciones!R2:R301,"2025-02",Transacciones!G2:G301,"Alimentos")</f>
        <v>57995549.69</v>
      </c>
      <c r="D31" s="14" t="n">
        <f aca="false">SUMIFS(Transacciones!M2:M301,Transacciones!R2:R301,"2025-02",Transacciones!G2:G301,"Aseo")</f>
        <v>8847546.25</v>
      </c>
      <c r="E31" s="14" t="n">
        <f aca="false">SUMIFS(Transacciones!M2:M301,Transacciones!R2:R301,"2025-02",Transacciones!G2:G301,"Cuidado Personal")</f>
        <v>6777362.52</v>
      </c>
      <c r="F31" s="14" t="n">
        <f aca="false">SUMIFS(Transacciones!M2:M301,Transacciones!R2:R301,"2025-02",Transacciones!G2:G301,"Marca propia")</f>
        <v>2855385.6</v>
      </c>
      <c r="G31" s="22" t="n">
        <f aca="false">SUM(B31:F31)</f>
        <v>102706595.63</v>
      </c>
    </row>
    <row r="32" customFormat="false" ht="15" hidden="false" customHeight="false" outlineLevel="0" collapsed="false">
      <c r="A32" s="12" t="s">
        <v>733</v>
      </c>
      <c r="B32" s="14" t="n">
        <f aca="false">SUMIFS(Transacciones!M2:M301,Transacciones!R2:R301,"2025-03",Transacciones!G2:G301,"Bebidas")</f>
        <v>30269116.25</v>
      </c>
      <c r="C32" s="14" t="n">
        <f aca="false">SUMIFS(Transacciones!M2:M301,Transacciones!R2:R301,"2025-03",Transacciones!G2:G301,"Alimentos")</f>
        <v>63766983.99</v>
      </c>
      <c r="D32" s="14" t="n">
        <f aca="false">SUMIFS(Transacciones!M2:M301,Transacciones!R2:R301,"2025-03",Transacciones!G2:G301,"Aseo")</f>
        <v>5436225.04</v>
      </c>
      <c r="E32" s="14" t="n">
        <f aca="false">SUMIFS(Transacciones!M2:M301,Transacciones!R2:R301,"2025-03",Transacciones!G2:G301,"Cuidado Personal")</f>
        <v>0</v>
      </c>
      <c r="F32" s="14" t="n">
        <f aca="false">SUMIFS(Transacciones!M2:M301,Transacciones!R2:R301,"2025-03",Transacciones!G2:G301,"Marca propia")</f>
        <v>2337507.92</v>
      </c>
      <c r="G32" s="22" t="n">
        <f aca="false">SUM(B32:F32)</f>
        <v>101809833.2</v>
      </c>
    </row>
    <row r="33" customFormat="false" ht="15" hidden="false" customHeight="false" outlineLevel="0" collapsed="false">
      <c r="A33" s="12" t="s">
        <v>734</v>
      </c>
      <c r="B33" s="14" t="n">
        <f aca="false">SUMIFS(Transacciones!M2:M301,Transacciones!R2:R301,"2025-04",Transacciones!G2:G301,"Bebidas")</f>
        <v>45660574.26</v>
      </c>
      <c r="C33" s="14" t="n">
        <f aca="false">SUMIFS(Transacciones!M2:M301,Transacciones!R2:R301,"2025-04",Transacciones!G2:G301,"Alimentos")</f>
        <v>47307859.46</v>
      </c>
      <c r="D33" s="14" t="n">
        <f aca="false">SUMIFS(Transacciones!M2:M301,Transacciones!R2:R301,"2025-04",Transacciones!G2:G301,"Aseo")</f>
        <v>0</v>
      </c>
      <c r="E33" s="14" t="n">
        <f aca="false">SUMIFS(Transacciones!M2:M301,Transacciones!R2:R301,"2025-04",Transacciones!G2:G301,"Cuidado Personal")</f>
        <v>6811439.2</v>
      </c>
      <c r="F33" s="14" t="n">
        <f aca="false">SUMIFS(Transacciones!M2:M301,Transacciones!R2:R301,"2025-04",Transacciones!G2:G301,"Marca propia")</f>
        <v>1933142.25</v>
      </c>
      <c r="G33" s="22" t="n">
        <f aca="false">SUM(B33:F33)</f>
        <v>101713015.17</v>
      </c>
    </row>
    <row r="34" customFormat="false" ht="15" hidden="false" customHeight="false" outlineLevel="0" collapsed="false">
      <c r="A34" s="12" t="s">
        <v>735</v>
      </c>
      <c r="B34" s="14" t="n">
        <f aca="false">SUMIFS(Transacciones!M2:M301,Transacciones!R2:R301,"2025-05",Transacciones!G2:G301,"Bebidas")</f>
        <v>58182973.23</v>
      </c>
      <c r="C34" s="14" t="n">
        <f aca="false">SUMIFS(Transacciones!M2:M301,Transacciones!R2:R301,"2025-05",Transacciones!G2:G301,"Alimentos")</f>
        <v>31851425.86</v>
      </c>
      <c r="D34" s="14" t="n">
        <f aca="false">SUMIFS(Transacciones!M2:M301,Transacciones!R2:R301,"2025-05",Transacciones!G2:G301,"Aseo")</f>
        <v>1588060</v>
      </c>
      <c r="E34" s="14" t="n">
        <f aca="false">SUMIFS(Transacciones!M2:M301,Transacciones!R2:R301,"2025-05",Transacciones!G2:G301,"Cuidado Personal")</f>
        <v>1417672.16</v>
      </c>
      <c r="F34" s="14" t="n">
        <f aca="false">SUMIFS(Transacciones!M2:M301,Transacciones!R2:R301,"2025-05",Transacciones!G2:G301,"Marca propia")</f>
        <v>5139313.1</v>
      </c>
      <c r="G34" s="22" t="n">
        <f aca="false">SUM(B34:F34)</f>
        <v>98179444.35</v>
      </c>
    </row>
    <row r="35" customFormat="false" ht="15" hidden="false" customHeight="false" outlineLevel="0" collapsed="false">
      <c r="A35" s="12" t="s">
        <v>736</v>
      </c>
      <c r="B35" s="14" t="n">
        <f aca="false">SUMIFS(Transacciones!M2:M301,Transacciones!R2:R301,"2025-06",Transacciones!G2:G301,"Bebidas")</f>
        <v>16954620.55</v>
      </c>
      <c r="C35" s="14" t="n">
        <f aca="false">SUMIFS(Transacciones!M2:M301,Transacciones!R2:R301,"2025-06",Transacciones!G2:G301,"Alimentos")</f>
        <v>38448662.46</v>
      </c>
      <c r="D35" s="14" t="n">
        <f aca="false">SUMIFS(Transacciones!M2:M301,Transacciones!R2:R301,"2025-06",Transacciones!G2:G301,"Aseo")</f>
        <v>19098754.5</v>
      </c>
      <c r="E35" s="14" t="n">
        <f aca="false">SUMIFS(Transacciones!M2:M301,Transacciones!R2:R301,"2025-06",Transacciones!G2:G301,"Cuidado Personal")</f>
        <v>1845180</v>
      </c>
      <c r="F35" s="14" t="n">
        <f aca="false">SUMIFS(Transacciones!M2:M301,Transacciones!R2:R301,"2025-06",Transacciones!G2:G301,"Marca propia")</f>
        <v>21141615.94</v>
      </c>
      <c r="G35" s="22" t="n">
        <f aca="false">SUM(B35:F35)</f>
        <v>97488833.45</v>
      </c>
    </row>
    <row r="36" customFormat="false" ht="15" hidden="false" customHeight="false" outlineLevel="0" collapsed="false">
      <c r="A36" s="12" t="s">
        <v>737</v>
      </c>
      <c r="B36" s="14" t="n">
        <f aca="false">SUMIFS(Transacciones!M2:M301,Transacciones!R2:R301,"2025-07",Transacciones!G2:G301,"Bebidas")</f>
        <v>35140285.67</v>
      </c>
      <c r="C36" s="14" t="n">
        <f aca="false">SUMIFS(Transacciones!M2:M301,Transacciones!R2:R301,"2025-07",Transacciones!G2:G301,"Alimentos")</f>
        <v>74171555.95</v>
      </c>
      <c r="D36" s="14" t="n">
        <f aca="false">SUMIFS(Transacciones!M2:M301,Transacciones!R2:R301,"2025-07",Transacciones!G2:G301,"Aseo")</f>
        <v>4609090</v>
      </c>
      <c r="E36" s="14" t="n">
        <f aca="false">SUMIFS(Transacciones!M2:M301,Transacciones!R2:R301,"2025-07",Transacciones!G2:G301,"Cuidado Personal")</f>
        <v>4731228.14</v>
      </c>
      <c r="F36" s="14" t="n">
        <f aca="false">SUMIFS(Transacciones!M2:M301,Transacciones!R2:R301,"2025-07",Transacciones!G2:G301,"Marca propia")</f>
        <v>6679819.28</v>
      </c>
      <c r="G36" s="22" t="n">
        <f aca="false">SUM(B36:F36)</f>
        <v>125331979.04</v>
      </c>
    </row>
    <row r="37" customFormat="false" ht="15" hidden="false" customHeight="false" outlineLevel="0" collapsed="false">
      <c r="A37" s="12" t="s">
        <v>738</v>
      </c>
      <c r="B37" s="14" t="n">
        <f aca="false">SUMIFS(Transacciones!M2:M301,Transacciones!R2:R301,"2025-08",Transacciones!G2:G301,"Bebidas")</f>
        <v>42262784.58</v>
      </c>
      <c r="C37" s="14" t="n">
        <f aca="false">SUMIFS(Transacciones!M2:M301,Transacciones!R2:R301,"2025-08",Transacciones!G2:G301,"Alimentos")</f>
        <v>44938617.28</v>
      </c>
      <c r="D37" s="14" t="n">
        <f aca="false">SUMIFS(Transacciones!M2:M301,Transacciones!R2:R301,"2025-08",Transacciones!G2:G301,"Aseo")</f>
        <v>1623440</v>
      </c>
      <c r="E37" s="14" t="n">
        <f aca="false">SUMIFS(Transacciones!M2:M301,Transacciones!R2:R301,"2025-08",Transacciones!G2:G301,"Cuidado Personal")</f>
        <v>4807102.52</v>
      </c>
      <c r="F37" s="14" t="n">
        <f aca="false">SUMIFS(Transacciones!M2:M301,Transacciones!R2:R301,"2025-08",Transacciones!G2:G301,"Marca propia")</f>
        <v>18742513.56</v>
      </c>
      <c r="G37" s="22" t="n">
        <f aca="false">SUM(B37:F37)</f>
        <v>112374457.94</v>
      </c>
    </row>
    <row r="38" customFormat="false" ht="15" hidden="false" customHeight="false" outlineLevel="0" collapsed="false">
      <c r="A38" s="23" t="s">
        <v>742</v>
      </c>
      <c r="B38" s="18" t="n">
        <f aca="false">SUM(B30:B37)</f>
        <v>287459999.18</v>
      </c>
      <c r="C38" s="18" t="n">
        <f aca="false">SUM(C30:C37)</f>
        <v>408132300.69</v>
      </c>
      <c r="D38" s="18" t="n">
        <f aca="false">SUM(D30:D37)</f>
        <v>41203115.79</v>
      </c>
      <c r="E38" s="18" t="n">
        <f aca="false">SUM(E30:E37)</f>
        <v>26846174.54</v>
      </c>
      <c r="F38" s="18" t="n">
        <f aca="false">SUM(F30:F37)</f>
        <v>64845575.68</v>
      </c>
      <c r="G38" s="18" t="n">
        <f aca="false">SUM(G30:G37)</f>
        <v>828487165.88</v>
      </c>
    </row>
    <row r="41" customFormat="false" ht="15" hidden="false" customHeight="false" outlineLevel="0" collapsed="false">
      <c r="A41" s="20" t="s">
        <v>744</v>
      </c>
    </row>
    <row r="42" customFormat="false" ht="15" hidden="false" customHeight="false" outlineLevel="0" collapsed="false">
      <c r="A42" s="12" t="s">
        <v>745</v>
      </c>
      <c r="B42" s="22" t="n">
        <f aca="false">SUMIF(Transacciones!Q2:Q301,"Pagado",Transacciones!M2:M301)</f>
        <v>733235067.58</v>
      </c>
    </row>
    <row r="43" customFormat="false" ht="15" hidden="false" customHeight="false" outlineLevel="0" collapsed="false">
      <c r="A43" s="12" t="s">
        <v>746</v>
      </c>
      <c r="B43" s="22" t="n">
        <f aca="false">SUMIF(Transacciones!Q2:Q301,"Pendiente",Transacciones!M2:M301)</f>
        <v>59794444.02</v>
      </c>
    </row>
    <row r="44" customFormat="false" ht="15" hidden="false" customHeight="false" outlineLevel="0" collapsed="false">
      <c r="A44" s="12" t="s">
        <v>747</v>
      </c>
      <c r="B44" s="22" t="n">
        <f aca="false">SUMIF(Transacciones!Q2:Q301,"Vencido",Transacciones!M2:M301)</f>
        <v>35457654.28</v>
      </c>
    </row>
    <row r="46" customFormat="false" ht="15" hidden="false" customHeight="false" outlineLevel="0" collapsed="false">
      <c r="A46" s="9" t="s">
        <v>748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2026-08-11T03:26:32Z</dcterms:created>
  <dc:creator>openpyxl</dc:creator>
  <dc:description/>
  <dc:language>en-US</dc:language>
  <cp:lastModifiedBy/>
  <dcterms:modified xsi:type="dcterms:W3CDTF">2026-08-11T03:26:32Z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